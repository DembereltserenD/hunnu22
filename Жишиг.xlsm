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365itzone-my.sharepoint.com/personal/dulguun_l_digitalpower_mn/Documents/"/>
    </mc:Choice>
  </mc:AlternateContent>
  <xr:revisionPtr revIDLastSave="0" documentId="8_{1DB5ED46-80E1-4889-A22F-4530B35167F2}" xr6:coauthVersionLast="47" xr6:coauthVersionMax="47" xr10:uidLastSave="{00000000-0000-0000-0000-000000000000}"/>
  <bookViews>
    <workbookView xWindow="14295" yWindow="0" windowWidth="14385" windowHeight="15585" firstSheet="20" activeTab="20" xr2:uid="{3EDB11B2-7963-48D9-88C4-B690A92A62D5}"/>
  </bookViews>
  <sheets>
    <sheet name="202-1" sheetId="35" r:id="rId1"/>
    <sheet name="202-2" sheetId="36" r:id="rId2"/>
    <sheet name="203" sheetId="34" r:id="rId3"/>
    <sheet name="204" sheetId="33" r:id="rId4"/>
    <sheet name="205" sheetId="32" r:id="rId5"/>
    <sheet name="206" sheetId="31" r:id="rId6"/>
    <sheet name="207" sheetId="30" r:id="rId7"/>
    <sheet name="208" sheetId="29" r:id="rId8"/>
    <sheet name="209" sheetId="28" r:id="rId9"/>
    <sheet name="210" sheetId="27" r:id="rId10"/>
    <sheet name="211" sheetId="26" r:id="rId11"/>
    <sheet name="212" sheetId="25" r:id="rId12"/>
    <sheet name="213" sheetId="24" r:id="rId13"/>
    <sheet name="214" sheetId="23" r:id="rId14"/>
    <sheet name="215" sheetId="22" r:id="rId15"/>
    <sheet name="216" sheetId="21" r:id="rId16"/>
    <sheet name="217" sheetId="20" r:id="rId17"/>
    <sheet name="218" sheetId="10" r:id="rId18"/>
    <sheet name="219" sheetId="14" r:id="rId19"/>
    <sheet name="220" sheetId="16" r:id="rId20"/>
    <sheet name="221" sheetId="15" r:id="rId21"/>
    <sheet name="222" sheetId="17" r:id="rId22"/>
    <sheet name="223" sheetId="18" r:id="rId23"/>
    <sheet name="224" sheetId="19" r:id="rId2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3" i="36" l="1"/>
  <c r="B52" i="36"/>
  <c r="B51" i="36"/>
  <c r="B50" i="36"/>
  <c r="B49" i="36"/>
  <c r="B48" i="36"/>
  <c r="B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34" i="36"/>
  <c r="B33" i="36"/>
  <c r="B32" i="36"/>
  <c r="B31" i="36"/>
  <c r="B30" i="36"/>
  <c r="B29" i="36"/>
  <c r="B28" i="36"/>
  <c r="B27" i="36"/>
  <c r="B26" i="36"/>
  <c r="B25" i="36"/>
  <c r="B24" i="36"/>
  <c r="B23" i="36"/>
  <c r="B22" i="36"/>
  <c r="B21" i="36"/>
  <c r="B20" i="36"/>
  <c r="B19" i="36"/>
  <c r="B18" i="36"/>
  <c r="B17" i="36"/>
  <c r="B16" i="36"/>
  <c r="B15" i="36"/>
  <c r="B14" i="36"/>
  <c r="B13" i="36"/>
  <c r="B12" i="36"/>
  <c r="B11" i="36"/>
  <c r="B10" i="36"/>
  <c r="B9" i="36"/>
  <c r="B8" i="36"/>
  <c r="B7" i="36"/>
  <c r="B6" i="36"/>
  <c r="B5" i="36"/>
  <c r="B4" i="36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36" i="35"/>
  <c r="B35" i="35"/>
  <c r="B34" i="35"/>
  <c r="B33" i="35"/>
  <c r="B32" i="35"/>
  <c r="B31" i="35"/>
  <c r="B30" i="35"/>
  <c r="B29" i="35"/>
  <c r="B28" i="35"/>
  <c r="B27" i="35"/>
  <c r="B26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12" i="35"/>
  <c r="B11" i="35"/>
  <c r="B10" i="35"/>
  <c r="B9" i="35"/>
  <c r="B8" i="35"/>
  <c r="B7" i="35"/>
  <c r="B6" i="35"/>
  <c r="B5" i="35"/>
  <c r="B4" i="35"/>
  <c r="B103" i="34"/>
  <c r="B102" i="34"/>
  <c r="B101" i="34"/>
  <c r="B100" i="34"/>
  <c r="B99" i="34"/>
  <c r="B98" i="34"/>
  <c r="B97" i="34"/>
  <c r="B96" i="34"/>
  <c r="B95" i="34"/>
  <c r="B94" i="34"/>
  <c r="B93" i="34"/>
  <c r="B92" i="34"/>
  <c r="B91" i="34"/>
  <c r="B90" i="34"/>
  <c r="B89" i="34"/>
  <c r="B88" i="34"/>
  <c r="B87" i="34"/>
  <c r="B86" i="34"/>
  <c r="B85" i="34"/>
  <c r="B84" i="34"/>
  <c r="B83" i="34"/>
  <c r="B82" i="34"/>
  <c r="B81" i="34"/>
  <c r="B80" i="34"/>
  <c r="B79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B57" i="34"/>
  <c r="B56" i="34"/>
  <c r="B55" i="34"/>
  <c r="B54" i="34"/>
  <c r="B53" i="34"/>
  <c r="B52" i="34"/>
  <c r="B51" i="34"/>
  <c r="B50" i="34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Q7" i="36" a="1"/>
  <c r="Q6" i="36" a="1"/>
  <c r="Q5" i="36" a="1"/>
  <c r="V22" i="36" a="1"/>
  <c r="V21" i="36" a="1"/>
  <c r="V20" i="36" a="1"/>
  <c r="V17" i="36" a="1"/>
  <c r="V16" i="36" a="1"/>
  <c r="V15" i="36" a="1"/>
  <c r="V12" i="36" a="1"/>
  <c r="V11" i="36" a="1"/>
  <c r="V10" i="36" a="1"/>
  <c r="V7" i="36" a="1"/>
  <c r="V6" i="36" a="1"/>
  <c r="V5" i="36" a="1"/>
  <c r="V22" i="35" a="1"/>
  <c r="V21" i="35" a="1"/>
  <c r="V20" i="35" a="1"/>
  <c r="V17" i="35" a="1"/>
  <c r="V16" i="35" a="1"/>
  <c r="V15" i="35" a="1"/>
  <c r="V12" i="35" a="1"/>
  <c r="V11" i="35" a="1"/>
  <c r="V10" i="35" a="1"/>
  <c r="V7" i="35" a="1"/>
  <c r="V6" i="35" a="1"/>
  <c r="V5" i="35" a="1"/>
  <c r="V41" i="34" a="1"/>
  <c r="V42" i="34" a="1"/>
  <c r="V40" i="34" a="1"/>
  <c r="V37" i="34" a="1"/>
  <c r="V36" i="34" a="1"/>
  <c r="V35" i="34" a="1"/>
  <c r="V32" i="34" a="1"/>
  <c r="V31" i="34" a="1"/>
  <c r="V30" i="34" a="1"/>
  <c r="V27" i="34" a="1"/>
  <c r="V26" i="34" a="1"/>
  <c r="V25" i="34" a="1"/>
  <c r="V22" i="34" a="1"/>
  <c r="V21" i="34" a="1"/>
  <c r="V20" i="34" a="1"/>
  <c r="V17" i="34" a="1"/>
  <c r="V16" i="34" a="1"/>
  <c r="V15" i="34" a="1"/>
  <c r="V12" i="34" a="1"/>
  <c r="V11" i="34" a="1"/>
  <c r="V10" i="34" a="1"/>
  <c r="V7" i="34" a="1"/>
  <c r="V6" i="34" a="1"/>
  <c r="V5" i="34" a="1"/>
  <c r="Q7" i="34" a="1"/>
  <c r="Q6" i="34" a="1"/>
  <c r="Q5" i="34" a="1"/>
  <c r="U42" i="33" a="1"/>
  <c r="Q7" i="36"/>
  <c r="Q6" i="36"/>
  <c r="Q5" i="36"/>
  <c r="Q4" i="36"/>
  <c r="V22" i="36"/>
  <c r="V21" i="36"/>
  <c r="V20" i="36"/>
  <c r="V19" i="36"/>
  <c r="V17" i="36"/>
  <c r="V16" i="36"/>
  <c r="V15" i="36"/>
  <c r="V12" i="36"/>
  <c r="V11" i="36"/>
  <c r="V10" i="36"/>
  <c r="V7" i="36"/>
  <c r="V6" i="36"/>
  <c r="V5" i="36"/>
  <c r="V4" i="36"/>
  <c r="V22" i="35"/>
  <c r="V21" i="35"/>
  <c r="V20" i="35"/>
  <c r="V17" i="35"/>
  <c r="V16" i="35"/>
  <c r="V15" i="35"/>
  <c r="V12" i="35"/>
  <c r="V11" i="35"/>
  <c r="V10" i="35"/>
  <c r="V9" i="35"/>
  <c r="V7" i="35"/>
  <c r="V6" i="35"/>
  <c r="V5" i="35"/>
  <c r="V41" i="34"/>
  <c r="V42" i="34"/>
  <c r="V40" i="34"/>
  <c r="V37" i="34"/>
  <c r="V36" i="34"/>
  <c r="V35" i="34"/>
  <c r="V32" i="34"/>
  <c r="V31" i="34"/>
  <c r="V30" i="34"/>
  <c r="V27" i="34"/>
  <c r="V26" i="34"/>
  <c r="V25" i="34"/>
  <c r="V22" i="34"/>
  <c r="V21" i="34"/>
  <c r="V20" i="34"/>
  <c r="V19" i="34"/>
  <c r="V17" i="34"/>
  <c r="V16" i="34"/>
  <c r="V15" i="34"/>
  <c r="V12" i="34"/>
  <c r="V11" i="34"/>
  <c r="V10" i="34"/>
  <c r="V7" i="34"/>
  <c r="V6" i="34"/>
  <c r="V5" i="34"/>
  <c r="Q7" i="34"/>
  <c r="Q6" i="34"/>
  <c r="Q5" i="34"/>
  <c r="Q4" i="34"/>
  <c r="U42" i="33"/>
  <c r="U41" i="33" a="1"/>
  <c r="V14" i="35"/>
  <c r="V19" i="35"/>
  <c r="V14" i="36"/>
  <c r="V9" i="36"/>
  <c r="V4" i="35"/>
  <c r="V39" i="34"/>
  <c r="V34" i="34"/>
  <c r="V24" i="34"/>
  <c r="V9" i="34"/>
  <c r="V4" i="34"/>
  <c r="V29" i="34"/>
  <c r="V14" i="34"/>
  <c r="U41" i="33"/>
  <c r="U40" i="33" a="1"/>
  <c r="U40" i="33"/>
  <c r="U39" i="33"/>
  <c r="U37" i="33" a="1"/>
  <c r="U37" i="33"/>
  <c r="U36" i="33" a="1"/>
  <c r="U36" i="33"/>
  <c r="U35" i="33" a="1"/>
  <c r="U35" i="33"/>
  <c r="B103" i="33"/>
  <c r="B102" i="33"/>
  <c r="B101" i="33"/>
  <c r="B100" i="33"/>
  <c r="B99" i="33"/>
  <c r="B98" i="33"/>
  <c r="B97" i="33"/>
  <c r="B96" i="33"/>
  <c r="B95" i="33"/>
  <c r="B94" i="33"/>
  <c r="B93" i="33"/>
  <c r="B92" i="33"/>
  <c r="B91" i="33"/>
  <c r="B90" i="33"/>
  <c r="B89" i="33"/>
  <c r="B88" i="33"/>
  <c r="B87" i="33"/>
  <c r="B86" i="33"/>
  <c r="B85" i="33"/>
  <c r="B84" i="33"/>
  <c r="B83" i="33"/>
  <c r="B82" i="33"/>
  <c r="B81" i="33"/>
  <c r="B80" i="33"/>
  <c r="B79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9" i="33"/>
  <c r="B8" i="33"/>
  <c r="B7" i="33"/>
  <c r="B6" i="33"/>
  <c r="B5" i="33"/>
  <c r="B4" i="33"/>
  <c r="B92" i="32"/>
  <c r="B91" i="32"/>
  <c r="B90" i="32"/>
  <c r="B89" i="32"/>
  <c r="B88" i="32"/>
  <c r="B87" i="32"/>
  <c r="B86" i="32"/>
  <c r="B85" i="32"/>
  <c r="B84" i="32"/>
  <c r="B83" i="32"/>
  <c r="B82" i="32"/>
  <c r="B81" i="32"/>
  <c r="B80" i="32"/>
  <c r="B79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7" i="32"/>
  <c r="B46" i="32"/>
  <c r="B45" i="32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9" i="31"/>
  <c r="B8" i="31"/>
  <c r="B7" i="31"/>
  <c r="B6" i="31"/>
  <c r="B5" i="31"/>
  <c r="B4" i="31"/>
  <c r="B145" i="30"/>
  <c r="B144" i="30"/>
  <c r="B143" i="30"/>
  <c r="B142" i="30"/>
  <c r="B141" i="30"/>
  <c r="B140" i="30"/>
  <c r="B139" i="30"/>
  <c r="B138" i="30"/>
  <c r="B137" i="30"/>
  <c r="B136" i="30"/>
  <c r="B135" i="30"/>
  <c r="B134" i="30"/>
  <c r="B133" i="30"/>
  <c r="B132" i="30"/>
  <c r="B131" i="30"/>
  <c r="B130" i="30"/>
  <c r="B129" i="30"/>
  <c r="B128" i="30"/>
  <c r="B127" i="30"/>
  <c r="B126" i="30"/>
  <c r="B125" i="30"/>
  <c r="B124" i="30"/>
  <c r="B123" i="30"/>
  <c r="B122" i="30"/>
  <c r="B121" i="30"/>
  <c r="B120" i="30"/>
  <c r="B119" i="30"/>
  <c r="B118" i="30"/>
  <c r="B117" i="30"/>
  <c r="B116" i="30"/>
  <c r="B115" i="30"/>
  <c r="B114" i="30"/>
  <c r="B113" i="30"/>
  <c r="B112" i="30"/>
  <c r="B111" i="30"/>
  <c r="B110" i="30"/>
  <c r="B109" i="30"/>
  <c r="B108" i="30"/>
  <c r="B107" i="30"/>
  <c r="B106" i="30"/>
  <c r="B105" i="30"/>
  <c r="B104" i="30"/>
  <c r="B103" i="30"/>
  <c r="B102" i="30"/>
  <c r="B101" i="30"/>
  <c r="B100" i="30"/>
  <c r="B99" i="30"/>
  <c r="B98" i="30"/>
  <c r="B97" i="30"/>
  <c r="B96" i="30"/>
  <c r="B95" i="30"/>
  <c r="B94" i="30"/>
  <c r="B93" i="30"/>
  <c r="B92" i="30"/>
  <c r="B91" i="30"/>
  <c r="B90" i="30"/>
  <c r="B89" i="30"/>
  <c r="B88" i="30"/>
  <c r="B87" i="30"/>
  <c r="B86" i="30"/>
  <c r="B85" i="30"/>
  <c r="B84" i="30"/>
  <c r="B83" i="30"/>
  <c r="B82" i="30"/>
  <c r="B81" i="30"/>
  <c r="B80" i="30"/>
  <c r="B79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9" i="30"/>
  <c r="B8" i="30"/>
  <c r="B107" i="29"/>
  <c r="B106" i="29"/>
  <c r="B105" i="29"/>
  <c r="B104" i="29"/>
  <c r="B103" i="29"/>
  <c r="B102" i="29"/>
  <c r="B101" i="29"/>
  <c r="B100" i="29"/>
  <c r="B99" i="29"/>
  <c r="B98" i="29"/>
  <c r="B97" i="29"/>
  <c r="B96" i="29"/>
  <c r="B95" i="29"/>
  <c r="B94" i="29"/>
  <c r="B93" i="29"/>
  <c r="B92" i="29"/>
  <c r="B91" i="29"/>
  <c r="B90" i="29"/>
  <c r="B89" i="29"/>
  <c r="B88" i="29"/>
  <c r="B87" i="29"/>
  <c r="B86" i="29"/>
  <c r="B85" i="29"/>
  <c r="B84" i="29"/>
  <c r="B83" i="29"/>
  <c r="B82" i="29"/>
  <c r="B81" i="29"/>
  <c r="B80" i="29"/>
  <c r="B79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36" i="29"/>
  <c r="B35" i="29"/>
  <c r="B34" i="29"/>
  <c r="B33" i="29"/>
  <c r="B32" i="29"/>
  <c r="B31" i="29"/>
  <c r="B30" i="29"/>
  <c r="B29" i="29"/>
  <c r="B28" i="29"/>
  <c r="B27" i="29"/>
  <c r="B26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9" i="29"/>
  <c r="B8" i="29"/>
  <c r="B47" i="28"/>
  <c r="B46" i="28"/>
  <c r="B45" i="28"/>
  <c r="B44" i="28"/>
  <c r="B43" i="28"/>
  <c r="B42" i="28"/>
  <c r="B41" i="28"/>
  <c r="B40" i="28"/>
  <c r="B39" i="28"/>
  <c r="B38" i="28"/>
  <c r="B37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U31" i="30" a="1"/>
  <c r="U17" i="30" a="1"/>
  <c r="U5" i="30" a="1"/>
  <c r="U15" i="30" a="1"/>
  <c r="U22" i="30" a="1"/>
  <c r="U42" i="30" a="1"/>
  <c r="U30" i="30" a="1"/>
  <c r="U16" i="30" a="1"/>
  <c r="P7" i="30" a="1"/>
  <c r="P6" i="30" a="1"/>
  <c r="U11" i="30" a="1"/>
  <c r="U41" i="30" a="1"/>
  <c r="U27" i="30" a="1"/>
  <c r="U25" i="30" a="1"/>
  <c r="U40" i="30" a="1"/>
  <c r="U26" i="30" a="1"/>
  <c r="U12" i="30" a="1"/>
  <c r="P5" i="30" a="1"/>
  <c r="U37" i="30" a="1"/>
  <c r="U36" i="30" a="1"/>
  <c r="U35" i="30" a="1"/>
  <c r="U21" i="30" a="1"/>
  <c r="U7" i="30" a="1"/>
  <c r="U32" i="30" a="1"/>
  <c r="U20" i="30" a="1"/>
  <c r="U6" i="30" a="1"/>
  <c r="U10" i="30" a="1"/>
  <c r="U36" i="29" a="1"/>
  <c r="U22" i="29" a="1"/>
  <c r="U10" i="29" a="1"/>
  <c r="U16" i="29" a="1"/>
  <c r="U15" i="29" a="1"/>
  <c r="U35" i="29" a="1"/>
  <c r="U21" i="29" a="1"/>
  <c r="U7" i="29" a="1"/>
  <c r="U30" i="29" a="1"/>
  <c r="U27" i="29" a="1"/>
  <c r="U32" i="29" a="1"/>
  <c r="U20" i="29" a="1"/>
  <c r="U6" i="29" a="1"/>
  <c r="P7" i="29" a="1"/>
  <c r="U31" i="29" a="1"/>
  <c r="U17" i="29" a="1"/>
  <c r="U5" i="29" a="1"/>
  <c r="U42" i="29" a="1"/>
  <c r="U41" i="29" a="1"/>
  <c r="U40" i="29" a="1"/>
  <c r="U26" i="29" a="1"/>
  <c r="U12" i="29" a="1"/>
  <c r="P5" i="29" a="1"/>
  <c r="U37" i="29" a="1"/>
  <c r="U25" i="29" a="1"/>
  <c r="U11" i="29" a="1"/>
  <c r="P6" i="29" a="1"/>
  <c r="Q6" i="28" a="1"/>
  <c r="V37" i="28" a="1"/>
  <c r="V25" i="28" a="1"/>
  <c r="V6" i="28" a="1"/>
  <c r="Q5" i="28" a="1"/>
  <c r="V36" i="28" a="1"/>
  <c r="V17" i="28" a="1"/>
  <c r="V5" i="28" a="1"/>
  <c r="V12" i="28" a="1"/>
  <c r="V11" i="28" a="1"/>
  <c r="V42" i="28" a="1"/>
  <c r="V35" i="28" a="1"/>
  <c r="V16" i="28" a="1"/>
  <c r="V40" i="28" a="1"/>
  <c r="V22" i="28" a="1"/>
  <c r="V30" i="28" a="1"/>
  <c r="V41" i="28" a="1"/>
  <c r="V32" i="28" a="1"/>
  <c r="V15" i="28" a="1"/>
  <c r="V21" i="28" a="1"/>
  <c r="V27" i="28" a="1"/>
  <c r="V10" i="28" a="1"/>
  <c r="Q7" i="28" a="1"/>
  <c r="V20" i="28" a="1"/>
  <c r="V26" i="28" a="1"/>
  <c r="V7" i="28" a="1"/>
  <c r="V31" i="28" a="1"/>
  <c r="Y27" i="27" a="1"/>
  <c r="Y15" i="27" a="1"/>
  <c r="Y22" i="27" a="1"/>
  <c r="Y21" i="27" a="1"/>
  <c r="Y30" i="27" a="1"/>
  <c r="Y17" i="27" a="1"/>
  <c r="Y16" i="27" a="1"/>
  <c r="Y26" i="27" a="1"/>
  <c r="Y12" i="27" a="1"/>
  <c r="Y36" i="27" a="1"/>
  <c r="Y10" i="27" a="1"/>
  <c r="Y7" i="27" a="1"/>
  <c r="Y20" i="27" a="1"/>
  <c r="Y37" i="27" a="1"/>
  <c r="Y25" i="27" a="1"/>
  <c r="Y11" i="27" a="1"/>
  <c r="Y5" i="27" a="1"/>
  <c r="Y35" i="27" a="1"/>
  <c r="Y6" i="27" a="1"/>
  <c r="Y32" i="27" a="1"/>
  <c r="Y31" i="27" a="1"/>
  <c r="U32" i="33" a="1"/>
  <c r="U31" i="33" a="1"/>
  <c r="U30" i="33" a="1"/>
  <c r="U27" i="33" a="1"/>
  <c r="U26" i="33" a="1"/>
  <c r="U25" i="33" a="1"/>
  <c r="U22" i="33" a="1"/>
  <c r="U21" i="33" a="1"/>
  <c r="U20" i="33" a="1"/>
  <c r="U17" i="33" a="1"/>
  <c r="U16" i="33" a="1"/>
  <c r="U15" i="33" a="1"/>
  <c r="U12" i="33" a="1"/>
  <c r="U11" i="33" a="1"/>
  <c r="U10" i="33" a="1"/>
  <c r="U7" i="33" a="1"/>
  <c r="U6" i="33" a="1"/>
  <c r="U5" i="33" a="1"/>
  <c r="P7" i="33" a="1"/>
  <c r="P6" i="33" a="1"/>
  <c r="P5" i="33" a="1"/>
  <c r="V21" i="32" a="1"/>
  <c r="V6" i="32" a="1"/>
  <c r="V42" i="32" a="1"/>
  <c r="V41" i="32" a="1"/>
  <c r="V40" i="32" a="1"/>
  <c r="V37" i="32" a="1"/>
  <c r="V36" i="32" a="1"/>
  <c r="V35" i="32" a="1"/>
  <c r="V32" i="32" a="1"/>
  <c r="V31" i="32" a="1"/>
  <c r="V30" i="32" a="1"/>
  <c r="V27" i="32" a="1"/>
  <c r="V26" i="32" a="1"/>
  <c r="V25" i="32" a="1"/>
  <c r="V22" i="32" a="1"/>
  <c r="V20" i="32" a="1"/>
  <c r="V17" i="32" a="1"/>
  <c r="V16" i="32" a="1"/>
  <c r="V15" i="32" a="1"/>
  <c r="V12" i="32" a="1"/>
  <c r="V11" i="32" a="1"/>
  <c r="V10" i="32" a="1"/>
  <c r="V7" i="32" a="1"/>
  <c r="V5" i="32" a="1"/>
  <c r="Q7" i="32" a="1"/>
  <c r="Q6" i="32" a="1"/>
  <c r="Q5" i="32" a="1"/>
  <c r="T7" i="31" a="1"/>
  <c r="T6" i="31" a="1"/>
  <c r="T5" i="31" a="1"/>
  <c r="Y37" i="31" a="1"/>
  <c r="Y36" i="31" a="1"/>
  <c r="Y35" i="31" a="1"/>
  <c r="Y32" i="31" a="1"/>
  <c r="Y31" i="31" a="1"/>
  <c r="Y30" i="31" a="1"/>
  <c r="Y27" i="31" a="1"/>
  <c r="Y26" i="31" a="1"/>
  <c r="Y25" i="31" a="1"/>
  <c r="Y22" i="31" a="1"/>
  <c r="Y21" i="31" a="1"/>
  <c r="Y20" i="31" a="1"/>
  <c r="Y17" i="31" a="1"/>
  <c r="Y16" i="31" a="1"/>
  <c r="Y15" i="31" a="1"/>
  <c r="Y12" i="31" a="1"/>
  <c r="Y11" i="31" a="1"/>
  <c r="Y10" i="31" a="1"/>
  <c r="Y7" i="31" a="1"/>
  <c r="Y6" i="31" a="1"/>
  <c r="Y5" i="31" a="1"/>
  <c r="U34" i="33"/>
  <c r="U32" i="33"/>
  <c r="U31" i="33"/>
  <c r="U30" i="33"/>
  <c r="U27" i="33"/>
  <c r="U26" i="33"/>
  <c r="U25" i="33"/>
  <c r="U22" i="33"/>
  <c r="U21" i="33"/>
  <c r="U20" i="33"/>
  <c r="U19" i="33"/>
  <c r="U17" i="33"/>
  <c r="U16" i="33"/>
  <c r="U15" i="33"/>
  <c r="U12" i="33"/>
  <c r="U11" i="33"/>
  <c r="U10" i="33"/>
  <c r="U7" i="33"/>
  <c r="U6" i="33"/>
  <c r="U5" i="33"/>
  <c r="P7" i="33"/>
  <c r="P6" i="33"/>
  <c r="P5" i="33"/>
  <c r="V21" i="32"/>
  <c r="V6" i="32"/>
  <c r="V42" i="32"/>
  <c r="V41" i="32"/>
  <c r="V40" i="32"/>
  <c r="V37" i="32"/>
  <c r="V36" i="32"/>
  <c r="V35" i="32"/>
  <c r="V32" i="32"/>
  <c r="V31" i="32"/>
  <c r="V30" i="32"/>
  <c r="V27" i="32"/>
  <c r="V26" i="32"/>
  <c r="V25" i="32"/>
  <c r="V22" i="32"/>
  <c r="V20" i="32"/>
  <c r="V17" i="32"/>
  <c r="V16" i="32"/>
  <c r="V15" i="32"/>
  <c r="V12" i="32"/>
  <c r="V11" i="32"/>
  <c r="V10" i="32"/>
  <c r="V7" i="32"/>
  <c r="V5" i="32"/>
  <c r="Q7" i="32"/>
  <c r="Q6" i="32"/>
  <c r="Q5" i="32"/>
  <c r="T7" i="31"/>
  <c r="T6" i="31"/>
  <c r="T5" i="31"/>
  <c r="Y37" i="31"/>
  <c r="Y36" i="31"/>
  <c r="Y35" i="31"/>
  <c r="Y32" i="31"/>
  <c r="Y31" i="31"/>
  <c r="Y30" i="31"/>
  <c r="Y27" i="31"/>
  <c r="Y26" i="31"/>
  <c r="Y25" i="31"/>
  <c r="Y22" i="31"/>
  <c r="Y21" i="31"/>
  <c r="Y20" i="31"/>
  <c r="Y17" i="31"/>
  <c r="Y16" i="31"/>
  <c r="Y15" i="31"/>
  <c r="Y12" i="31"/>
  <c r="Y11" i="31"/>
  <c r="Y10" i="31"/>
  <c r="Y7" i="31"/>
  <c r="Y6" i="31"/>
  <c r="Y5" i="31"/>
  <c r="U42" i="30"/>
  <c r="U41" i="30"/>
  <c r="U40" i="30"/>
  <c r="U37" i="30"/>
  <c r="U36" i="30"/>
  <c r="U35" i="30"/>
  <c r="U32" i="30"/>
  <c r="U31" i="30"/>
  <c r="U30" i="30"/>
  <c r="U27" i="30"/>
  <c r="U26" i="30"/>
  <c r="U25" i="30"/>
  <c r="U22" i="30"/>
  <c r="U21" i="30"/>
  <c r="U20" i="30"/>
  <c r="U17" i="30"/>
  <c r="U16" i="30"/>
  <c r="U15" i="30"/>
  <c r="U12" i="30"/>
  <c r="U11" i="30"/>
  <c r="U10" i="30"/>
  <c r="U9" i="30"/>
  <c r="U7" i="30"/>
  <c r="U6" i="30"/>
  <c r="U5" i="30"/>
  <c r="P7" i="30"/>
  <c r="P6" i="30"/>
  <c r="P5" i="30"/>
  <c r="U14" i="30"/>
  <c r="U42" i="29"/>
  <c r="U41" i="29"/>
  <c r="U40" i="29"/>
  <c r="U37" i="29"/>
  <c r="U36" i="29"/>
  <c r="U35" i="29"/>
  <c r="U32" i="29"/>
  <c r="U31" i="29"/>
  <c r="U30" i="29"/>
  <c r="U27" i="29"/>
  <c r="U26" i="29"/>
  <c r="U25" i="29"/>
  <c r="U22" i="29"/>
  <c r="U21" i="29"/>
  <c r="U20" i="29"/>
  <c r="U17" i="29"/>
  <c r="U16" i="29"/>
  <c r="U15" i="29"/>
  <c r="U12" i="29"/>
  <c r="U11" i="29"/>
  <c r="U10" i="29"/>
  <c r="U7" i="29"/>
  <c r="U6" i="29"/>
  <c r="U5" i="29"/>
  <c r="P7" i="29"/>
  <c r="P6" i="29"/>
  <c r="P5" i="29"/>
  <c r="P4" i="29"/>
  <c r="U19" i="29"/>
  <c r="Q7" i="28"/>
  <c r="Q6" i="28"/>
  <c r="Q5" i="28"/>
  <c r="Q4" i="28"/>
  <c r="V42" i="28"/>
  <c r="V41" i="28"/>
  <c r="V40" i="28"/>
  <c r="V22" i="28"/>
  <c r="V21" i="28"/>
  <c r="V20" i="28"/>
  <c r="V37" i="28"/>
  <c r="V36" i="28"/>
  <c r="V35" i="28"/>
  <c r="V32" i="28"/>
  <c r="V31" i="28"/>
  <c r="V30" i="28"/>
  <c r="V29" i="28"/>
  <c r="V27" i="28"/>
  <c r="V26" i="28"/>
  <c r="V25" i="28"/>
  <c r="V17" i="28"/>
  <c r="V16" i="28"/>
  <c r="V15" i="28"/>
  <c r="V12" i="28"/>
  <c r="V11" i="28"/>
  <c r="V10" i="28"/>
  <c r="V7" i="28"/>
  <c r="V6" i="28"/>
  <c r="V5" i="28"/>
  <c r="V4" i="28"/>
  <c r="Y37" i="27"/>
  <c r="Y36" i="27"/>
  <c r="Y35" i="27"/>
  <c r="Y30" i="27"/>
  <c r="Y32" i="27"/>
  <c r="Y31" i="27"/>
  <c r="Y27" i="27"/>
  <c r="Y26" i="27"/>
  <c r="Y25" i="27"/>
  <c r="Y22" i="27"/>
  <c r="Y21" i="27"/>
  <c r="Y20" i="27"/>
  <c r="Y17" i="27"/>
  <c r="Y16" i="27"/>
  <c r="Y15" i="27"/>
  <c r="Y12" i="27"/>
  <c r="Y11" i="27"/>
  <c r="Y10" i="27"/>
  <c r="Y7" i="27"/>
  <c r="Y6" i="27"/>
  <c r="Y5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103" i="26"/>
  <c r="B102" i="26"/>
  <c r="B101" i="26"/>
  <c r="B100" i="26"/>
  <c r="B99" i="26"/>
  <c r="B98" i="26"/>
  <c r="B97" i="26"/>
  <c r="B96" i="26"/>
  <c r="B95" i="26"/>
  <c r="B94" i="26"/>
  <c r="B93" i="26"/>
  <c r="B92" i="26"/>
  <c r="B91" i="26"/>
  <c r="B90" i="26"/>
  <c r="B89" i="26"/>
  <c r="B88" i="26"/>
  <c r="B87" i="26"/>
  <c r="B86" i="26"/>
  <c r="B85" i="26"/>
  <c r="B84" i="26"/>
  <c r="B83" i="26"/>
  <c r="B82" i="26"/>
  <c r="B81" i="26"/>
  <c r="B80" i="26"/>
  <c r="B79" i="26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36" i="26"/>
  <c r="B35" i="26"/>
  <c r="B34" i="26"/>
  <c r="B33" i="26"/>
  <c r="B32" i="26"/>
  <c r="B31" i="26"/>
  <c r="B30" i="26"/>
  <c r="B29" i="26"/>
  <c r="B28" i="26"/>
  <c r="B27" i="26"/>
  <c r="B26" i="26"/>
  <c r="B25" i="26"/>
  <c r="B24" i="26"/>
  <c r="B23" i="26"/>
  <c r="B22" i="26"/>
  <c r="B21" i="26"/>
  <c r="B20" i="26"/>
  <c r="B19" i="26"/>
  <c r="B18" i="26"/>
  <c r="B17" i="26"/>
  <c r="B16" i="26"/>
  <c r="B15" i="26"/>
  <c r="B14" i="26"/>
  <c r="B13" i="26"/>
  <c r="B12" i="26"/>
  <c r="B11" i="26"/>
  <c r="B10" i="26"/>
  <c r="B9" i="26"/>
  <c r="B8" i="26"/>
  <c r="B7" i="26"/>
  <c r="B6" i="26"/>
  <c r="B5" i="26"/>
  <c r="B4" i="26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T5" i="27" a="1"/>
  <c r="T7" i="27" a="1"/>
  <c r="T6" i="27" a="1"/>
  <c r="U21" i="26" a="1"/>
  <c r="U27" i="26" a="1"/>
  <c r="U30" i="26" a="1"/>
  <c r="U17" i="26" a="1"/>
  <c r="U20" i="26" a="1"/>
  <c r="U7" i="26" a="1"/>
  <c r="U5" i="26" a="1"/>
  <c r="U16" i="26" a="1"/>
  <c r="P7" i="26" a="1"/>
  <c r="U6" i="26" a="1"/>
  <c r="U22" i="26" a="1"/>
  <c r="U37" i="26" a="1"/>
  <c r="U41" i="26" a="1"/>
  <c r="U10" i="26" a="1"/>
  <c r="U42" i="26" a="1"/>
  <c r="U11" i="26" a="1"/>
  <c r="U40" i="26" a="1"/>
  <c r="U31" i="26" a="1"/>
  <c r="U26" i="26" a="1"/>
  <c r="U32" i="26" a="1"/>
  <c r="U35" i="26" a="1"/>
  <c r="U15" i="26" a="1"/>
  <c r="U25" i="26" a="1"/>
  <c r="P6" i="26" a="1"/>
  <c r="U36" i="26" a="1"/>
  <c r="U12" i="26" a="1"/>
  <c r="P5" i="26" a="1"/>
  <c r="U5" i="25" a="1"/>
  <c r="U35" i="25" a="1"/>
  <c r="U21" i="25" a="1"/>
  <c r="P7" i="25" a="1"/>
  <c r="U42" i="25" a="1"/>
  <c r="U30" i="25" a="1"/>
  <c r="U16" i="25" a="1"/>
  <c r="U26" i="25" a="1"/>
  <c r="U40" i="25" a="1"/>
  <c r="U6" i="25" a="1"/>
  <c r="U32" i="25" a="1"/>
  <c r="U20" i="25" a="1"/>
  <c r="P6" i="25" a="1"/>
  <c r="U12" i="25" a="1"/>
  <c r="U7" i="25" a="1"/>
  <c r="U31" i="25" a="1"/>
  <c r="U17" i="25" a="1"/>
  <c r="P5" i="25" a="1"/>
  <c r="U41" i="25" a="1"/>
  <c r="U15" i="25" a="1"/>
  <c r="U37" i="25" a="1"/>
  <c r="U11" i="25" a="1"/>
  <c r="U36" i="25" a="1"/>
  <c r="U22" i="25" a="1"/>
  <c r="U10" i="25" a="1"/>
  <c r="U27" i="25" a="1"/>
  <c r="U25" i="25" a="1"/>
  <c r="U41" i="24" a="1"/>
  <c r="U25" i="24" a="1"/>
  <c r="U10" i="24" a="1"/>
  <c r="U35" i="24" a="1"/>
  <c r="P7" i="24" a="1"/>
  <c r="P6" i="24" a="1"/>
  <c r="U15" i="24" a="1"/>
  <c r="U26" i="24" a="1"/>
  <c r="U40" i="24" a="1"/>
  <c r="U22" i="24" a="1"/>
  <c r="U7" i="24" a="1"/>
  <c r="U31" i="24" a="1"/>
  <c r="U11" i="24" a="1"/>
  <c r="U37" i="24" a="1"/>
  <c r="U21" i="24" a="1"/>
  <c r="U6" i="24" a="1"/>
  <c r="U16" i="24" a="1"/>
  <c r="U27" i="24" a="1"/>
  <c r="U36" i="24" a="1"/>
  <c r="U20" i="24" a="1"/>
  <c r="U5" i="24" a="1"/>
  <c r="U17" i="24" a="1"/>
  <c r="U42" i="24" a="1"/>
  <c r="P5" i="24" a="1"/>
  <c r="U30" i="24" a="1"/>
  <c r="U12" i="24" a="1"/>
  <c r="U32" i="24" a="1"/>
  <c r="Q7" i="23" a="1"/>
  <c r="V10" i="23" a="1"/>
  <c r="V26" i="23" a="1"/>
  <c r="V40" i="23" a="1"/>
  <c r="V12" i="23" a="1"/>
  <c r="V42" i="23" a="1"/>
  <c r="Q6" i="23" a="1"/>
  <c r="V17" i="23" a="1"/>
  <c r="V25" i="23" a="1"/>
  <c r="V36" i="23" a="1"/>
  <c r="V22" i="23" a="1"/>
  <c r="V21" i="23" a="1"/>
  <c r="V20" i="23" a="1"/>
  <c r="Q5" i="23" a="1"/>
  <c r="V16" i="23" a="1"/>
  <c r="V30" i="23" a="1"/>
  <c r="V35" i="23" a="1"/>
  <c r="V5" i="23" a="1"/>
  <c r="V37" i="23" a="1"/>
  <c r="V11" i="23" a="1"/>
  <c r="V41" i="23" a="1"/>
  <c r="V7" i="23" a="1"/>
  <c r="V15" i="23" a="1"/>
  <c r="V31" i="23" a="1"/>
  <c r="V6" i="23" a="1"/>
  <c r="V32" i="23" a="1"/>
  <c r="V27" i="23" a="1"/>
  <c r="U30" i="22" a="1"/>
  <c r="U16" i="22" a="1"/>
  <c r="AL88" i="22" a="1"/>
  <c r="AL81" i="22" a="1"/>
  <c r="P5" i="22" a="1"/>
  <c r="U35" i="22" a="1"/>
  <c r="AL93" i="22" a="1"/>
  <c r="U27" i="22" a="1"/>
  <c r="U15" i="22" a="1"/>
  <c r="AL91" i="22" a="1"/>
  <c r="AH81" i="22" a="1"/>
  <c r="P7" i="22" a="1"/>
  <c r="U25" i="22" a="1"/>
  <c r="U41" i="22" a="1"/>
  <c r="AL83" i="22" a="1"/>
  <c r="U26" i="22" a="1"/>
  <c r="U12" i="22" a="1"/>
  <c r="AL82" i="22" a="1"/>
  <c r="AH82" i="22" a="1"/>
  <c r="U42" i="22" a="1"/>
  <c r="AL87" i="22" a="1"/>
  <c r="U22" i="22" a="1"/>
  <c r="U10" i="22" a="1"/>
  <c r="U40" i="22" a="1"/>
  <c r="U36" i="22" a="1"/>
  <c r="U11" i="22" a="1"/>
  <c r="U21" i="22" a="1"/>
  <c r="U7" i="22" a="1"/>
  <c r="AH83" i="22" a="1"/>
  <c r="U37" i="22" a="1"/>
  <c r="U20" i="22" a="1"/>
  <c r="U6" i="22" a="1"/>
  <c r="AL92" i="22" a="1"/>
  <c r="U32" i="22" a="1"/>
  <c r="U31" i="22" a="1"/>
  <c r="U17" i="22" a="1"/>
  <c r="U5" i="22" a="1"/>
  <c r="AL86" i="22" a="1"/>
  <c r="P6" i="22" a="1"/>
  <c r="V25" i="14" a="1"/>
  <c r="P4" i="33"/>
  <c r="U14" i="33"/>
  <c r="V9" i="32"/>
  <c r="Y29" i="31"/>
  <c r="T4" i="31"/>
  <c r="Y14" i="31"/>
  <c r="P4" i="30"/>
  <c r="U39" i="30"/>
  <c r="U4" i="30"/>
  <c r="U39" i="29"/>
  <c r="V14" i="28"/>
  <c r="V19" i="28"/>
  <c r="Y4" i="27"/>
  <c r="U29" i="33"/>
  <c r="U24" i="33"/>
  <c r="U9" i="33"/>
  <c r="U4" i="33"/>
  <c r="V19" i="32"/>
  <c r="V4" i="32"/>
  <c r="V39" i="32"/>
  <c r="V34" i="32"/>
  <c r="V29" i="32"/>
  <c r="V24" i="32"/>
  <c r="V14" i="32"/>
  <c r="Q4" i="32"/>
  <c r="Y34" i="31"/>
  <c r="Y24" i="31"/>
  <c r="Y19" i="31"/>
  <c r="Y9" i="31"/>
  <c r="Y4" i="31"/>
  <c r="U29" i="30"/>
  <c r="U24" i="30"/>
  <c r="U19" i="30"/>
  <c r="U34" i="30"/>
  <c r="U34" i="29"/>
  <c r="U24" i="29"/>
  <c r="U4" i="29"/>
  <c r="U29" i="29"/>
  <c r="U9" i="29"/>
  <c r="U14" i="29"/>
  <c r="V24" i="28"/>
  <c r="V39" i="28"/>
  <c r="V9" i="28"/>
  <c r="V34" i="28"/>
  <c r="Y29" i="27"/>
  <c r="Y24" i="27"/>
  <c r="Y14" i="27"/>
  <c r="Y9" i="27"/>
  <c r="T7" i="27"/>
  <c r="T6" i="27"/>
  <c r="T5" i="27"/>
  <c r="P5" i="26"/>
  <c r="U12" i="26"/>
  <c r="U22" i="26"/>
  <c r="U32" i="26"/>
  <c r="U42" i="26"/>
  <c r="U5" i="26"/>
  <c r="U20" i="26"/>
  <c r="U30" i="26"/>
  <c r="U40" i="26"/>
  <c r="U36" i="26"/>
  <c r="P7" i="26"/>
  <c r="U26" i="26"/>
  <c r="U10" i="26"/>
  <c r="U7" i="26"/>
  <c r="U17" i="26"/>
  <c r="U27" i="26"/>
  <c r="U37" i="26"/>
  <c r="P6" i="26"/>
  <c r="U11" i="26"/>
  <c r="U31" i="26"/>
  <c r="U41" i="26"/>
  <c r="U6" i="26"/>
  <c r="U16" i="26"/>
  <c r="U21" i="26"/>
  <c r="U15" i="26"/>
  <c r="U14" i="26"/>
  <c r="U25" i="26"/>
  <c r="U35" i="26"/>
  <c r="U5" i="25"/>
  <c r="U6" i="25"/>
  <c r="U4" i="25"/>
  <c r="U7" i="25"/>
  <c r="U42" i="25"/>
  <c r="U41" i="25"/>
  <c r="U40" i="25"/>
  <c r="U37" i="25"/>
  <c r="U36" i="25"/>
  <c r="U35" i="25"/>
  <c r="U32" i="25"/>
  <c r="U31" i="25"/>
  <c r="U30" i="25"/>
  <c r="U26" i="25"/>
  <c r="U27" i="25"/>
  <c r="U25" i="25"/>
  <c r="U22" i="25"/>
  <c r="U21" i="25"/>
  <c r="U20" i="25"/>
  <c r="U17" i="25"/>
  <c r="U16" i="25"/>
  <c r="U15" i="25"/>
  <c r="U12" i="25"/>
  <c r="U11" i="25"/>
  <c r="U10" i="25"/>
  <c r="P7" i="25"/>
  <c r="P6" i="25"/>
  <c r="P5" i="25"/>
  <c r="Q7" i="23"/>
  <c r="Q6" i="23"/>
  <c r="Q5" i="23"/>
  <c r="V25" i="14"/>
  <c r="V7" i="23"/>
  <c r="V6" i="23"/>
  <c r="V5" i="23"/>
  <c r="V4" i="23"/>
  <c r="V12" i="23"/>
  <c r="V11" i="23"/>
  <c r="V10" i="23"/>
  <c r="V9" i="23"/>
  <c r="V17" i="23"/>
  <c r="V16" i="23"/>
  <c r="V15" i="23"/>
  <c r="V22" i="23"/>
  <c r="V21" i="23"/>
  <c r="V20" i="23"/>
  <c r="V27" i="23"/>
  <c r="V26" i="23"/>
  <c r="V25" i="23"/>
  <c r="V30" i="23"/>
  <c r="V31" i="23"/>
  <c r="V32" i="23"/>
  <c r="V37" i="23"/>
  <c r="V42" i="23"/>
  <c r="V41" i="23"/>
  <c r="V40" i="23"/>
  <c r="V36" i="23"/>
  <c r="V35" i="23"/>
  <c r="P6" i="22"/>
  <c r="P5" i="22"/>
  <c r="P7" i="22"/>
  <c r="U42" i="22"/>
  <c r="U41" i="22"/>
  <c r="U40" i="22"/>
  <c r="U37" i="22"/>
  <c r="U32" i="22"/>
  <c r="U36" i="22"/>
  <c r="U34" i="22"/>
  <c r="U35" i="22"/>
  <c r="U31" i="22"/>
  <c r="U30" i="22"/>
  <c r="U27" i="22"/>
  <c r="U26" i="22"/>
  <c r="U25" i="22"/>
  <c r="U22" i="22"/>
  <c r="U21" i="22"/>
  <c r="U20" i="22"/>
  <c r="U19" i="22"/>
  <c r="U17" i="22"/>
  <c r="U16" i="22"/>
  <c r="U15" i="22"/>
  <c r="U12" i="22"/>
  <c r="U11" i="22"/>
  <c r="U10" i="22"/>
  <c r="U7" i="22"/>
  <c r="U6" i="22"/>
  <c r="U5" i="22"/>
  <c r="P6" i="24"/>
  <c r="P5" i="24"/>
  <c r="P4" i="24"/>
  <c r="U42" i="24"/>
  <c r="U41" i="24"/>
  <c r="U40" i="24"/>
  <c r="U37" i="24"/>
  <c r="U36" i="24"/>
  <c r="U35" i="24"/>
  <c r="U31" i="24"/>
  <c r="U30" i="24"/>
  <c r="U26" i="24"/>
  <c r="U25" i="24"/>
  <c r="U22" i="24"/>
  <c r="U21" i="24"/>
  <c r="U20" i="24"/>
  <c r="U17" i="24"/>
  <c r="U16" i="24"/>
  <c r="U12" i="24"/>
  <c r="U11" i="24"/>
  <c r="U10" i="24"/>
  <c r="U7" i="24"/>
  <c r="U4" i="24"/>
  <c r="U6" i="24"/>
  <c r="U5" i="24"/>
  <c r="U27" i="24"/>
  <c r="U32" i="24"/>
  <c r="U15" i="24"/>
  <c r="U29" i="24"/>
  <c r="U19" i="24"/>
  <c r="U34" i="24"/>
  <c r="P7" i="24"/>
  <c r="AL82" i="22"/>
  <c r="AL87" i="22"/>
  <c r="AH83" i="22"/>
  <c r="AL88" i="22"/>
  <c r="AL81" i="22"/>
  <c r="AL83" i="22"/>
  <c r="AL92" i="22"/>
  <c r="AH82" i="22"/>
  <c r="AL91" i="22"/>
  <c r="AH81" i="22"/>
  <c r="AL93" i="22"/>
  <c r="AL86" i="22"/>
  <c r="U24" i="26"/>
  <c r="U39" i="26"/>
  <c r="U29" i="26"/>
  <c r="U19" i="25"/>
  <c r="U34" i="25"/>
  <c r="U9" i="25"/>
  <c r="U24" i="24"/>
  <c r="Q4" i="23"/>
  <c r="T4" i="27"/>
  <c r="Y34" i="27"/>
  <c r="Y19" i="27"/>
  <c r="U34" i="26"/>
  <c r="U19" i="26"/>
  <c r="U9" i="26"/>
  <c r="P4" i="26"/>
  <c r="U4" i="26"/>
  <c r="U29" i="25"/>
  <c r="U24" i="25"/>
  <c r="U14" i="25"/>
  <c r="P4" i="25"/>
  <c r="U39" i="25"/>
  <c r="V14" i="23"/>
  <c r="V39" i="23"/>
  <c r="V34" i="23"/>
  <c r="V24" i="23"/>
  <c r="V29" i="23"/>
  <c r="V19" i="23"/>
  <c r="U29" i="22"/>
  <c r="U24" i="22"/>
  <c r="U39" i="24"/>
  <c r="U14" i="24"/>
  <c r="U9" i="24"/>
  <c r="U4" i="22"/>
  <c r="P4" i="22"/>
  <c r="U9" i="22"/>
  <c r="U39" i="22"/>
  <c r="U14" i="22"/>
  <c r="AL80" i="22"/>
  <c r="AH80" i="22"/>
  <c r="AL85" i="22"/>
  <c r="AL90" i="22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U42" i="21" a="1"/>
  <c r="U30" i="21" a="1"/>
  <c r="U16" i="21" a="1"/>
  <c r="P7" i="21" a="1"/>
  <c r="U41" i="21" a="1"/>
  <c r="U27" i="21" a="1"/>
  <c r="U15" i="21" a="1"/>
  <c r="P6" i="21" a="1"/>
  <c r="U40" i="21" a="1"/>
  <c r="U12" i="21" a="1"/>
  <c r="P5" i="21" a="1"/>
  <c r="U35" i="21" a="1"/>
  <c r="U7" i="21" a="1"/>
  <c r="U32" i="21" a="1"/>
  <c r="U17" i="21" a="1"/>
  <c r="U26" i="21" a="1"/>
  <c r="U37" i="21" a="1"/>
  <c r="U25" i="21" a="1"/>
  <c r="U11" i="21" a="1"/>
  <c r="U36" i="21" a="1"/>
  <c r="U22" i="21" a="1"/>
  <c r="U10" i="21" a="1"/>
  <c r="U21" i="21" a="1"/>
  <c r="U20" i="21" a="1"/>
  <c r="U6" i="21" a="1"/>
  <c r="U31" i="21" a="1"/>
  <c r="U5" i="21" a="1"/>
  <c r="U35" i="10" a="1"/>
  <c r="U21" i="10" a="1"/>
  <c r="U7" i="10" a="1"/>
  <c r="U20" i="10" a="1"/>
  <c r="U6" i="10" a="1"/>
  <c r="U26" i="10" a="1"/>
  <c r="U32" i="10" a="1"/>
  <c r="U31" i="10" a="1"/>
  <c r="U17" i="10" a="1"/>
  <c r="U5" i="10" a="1"/>
  <c r="U16" i="10" a="1"/>
  <c r="U27" i="10" a="1"/>
  <c r="U15" i="10" a="1"/>
  <c r="U40" i="10" a="1"/>
  <c r="U42" i="10" a="1"/>
  <c r="U30" i="10" a="1"/>
  <c r="U41" i="10" a="1"/>
  <c r="U12" i="10" a="1"/>
  <c r="U37" i="10" a="1"/>
  <c r="U25" i="10" a="1"/>
  <c r="U11" i="10" a="1"/>
  <c r="U36" i="10" a="1"/>
  <c r="U22" i="10" a="1"/>
  <c r="U10" i="10" a="1"/>
  <c r="U40" i="16" a="1"/>
  <c r="U26" i="16" a="1"/>
  <c r="U12" i="16" a="1"/>
  <c r="U31" i="16" a="1"/>
  <c r="U37" i="16" a="1"/>
  <c r="U25" i="16" a="1"/>
  <c r="U11" i="16" a="1"/>
  <c r="U22" i="16" a="1"/>
  <c r="P6" i="16" a="1"/>
  <c r="U20" i="16" a="1"/>
  <c r="U6" i="16" a="1"/>
  <c r="P5" i="16" a="1"/>
  <c r="U17" i="16" a="1"/>
  <c r="U41" i="16" a="1"/>
  <c r="U27" i="16" a="1"/>
  <c r="U36" i="16" a="1"/>
  <c r="U10" i="16" a="1"/>
  <c r="P7" i="16" a="1"/>
  <c r="U35" i="16" a="1"/>
  <c r="U21" i="16" a="1"/>
  <c r="U7" i="16" a="1"/>
  <c r="U32" i="16" a="1"/>
  <c r="U5" i="16" a="1"/>
  <c r="U42" i="16" a="1"/>
  <c r="U30" i="16" a="1"/>
  <c r="U16" i="16" a="1"/>
  <c r="U15" i="16" a="1"/>
  <c r="P5" i="15" a="1"/>
  <c r="U36" i="17" a="1"/>
  <c r="U22" i="17" a="1"/>
  <c r="U10" i="17" a="1"/>
  <c r="U21" i="17" a="1"/>
  <c r="U7" i="17" a="1"/>
  <c r="U30" i="17" a="1"/>
  <c r="U27" i="17" a="1"/>
  <c r="U35" i="17" a="1"/>
  <c r="U15" i="17" a="1"/>
  <c r="U32" i="17" a="1"/>
  <c r="U20" i="17" a="1"/>
  <c r="U6" i="17" a="1"/>
  <c r="U42" i="17" a="1"/>
  <c r="P7" i="17" a="1"/>
  <c r="U41" i="17" a="1"/>
  <c r="U31" i="17" a="1"/>
  <c r="U17" i="17" a="1"/>
  <c r="U5" i="17" a="1"/>
  <c r="U16" i="17" a="1"/>
  <c r="U40" i="17" a="1"/>
  <c r="U26" i="17" a="1"/>
  <c r="U12" i="17" a="1"/>
  <c r="P5" i="17" a="1"/>
  <c r="U37" i="17" a="1"/>
  <c r="U25" i="17" a="1"/>
  <c r="U11" i="17" a="1"/>
  <c r="P6" i="17" a="1"/>
  <c r="U36" i="18" a="1"/>
  <c r="U22" i="18" a="1"/>
  <c r="U10" i="18" a="1"/>
  <c r="U32" i="18" a="1"/>
  <c r="U6" i="18" a="1"/>
  <c r="U41" i="18" a="1"/>
  <c r="U15" i="18" a="1"/>
  <c r="U25" i="18" a="1"/>
  <c r="U35" i="18" a="1"/>
  <c r="U21" i="18" a="1"/>
  <c r="U7" i="18" a="1"/>
  <c r="U20" i="18" a="1"/>
  <c r="U27" i="18" a="1"/>
  <c r="U11" i="18" a="1"/>
  <c r="U31" i="18" a="1"/>
  <c r="U17" i="18" a="1"/>
  <c r="U5" i="18" a="1"/>
  <c r="U42" i="18" a="1"/>
  <c r="U30" i="18" a="1"/>
  <c r="U16" i="18" a="1"/>
  <c r="P7" i="18" a="1"/>
  <c r="P6" i="18" a="1"/>
  <c r="U37" i="18" a="1"/>
  <c r="U40" i="18" a="1"/>
  <c r="U26" i="18" a="1"/>
  <c r="U12" i="18" a="1"/>
  <c r="P5" i="18" a="1"/>
  <c r="U16" i="19" a="1"/>
  <c r="P7" i="19" a="1"/>
  <c r="U17" i="19" a="1"/>
  <c r="U15" i="19" a="1"/>
  <c r="P6" i="19" a="1"/>
  <c r="U22" i="19" a="1"/>
  <c r="U21" i="19" a="1"/>
  <c r="U12" i="19" a="1"/>
  <c r="P5" i="19" a="1"/>
  <c r="U10" i="19" a="1"/>
  <c r="U11" i="19" a="1"/>
  <c r="U7" i="19" a="1"/>
  <c r="U5" i="19" a="1"/>
  <c r="U20" i="19" a="1"/>
  <c r="U6" i="19" a="1"/>
  <c r="U42" i="21"/>
  <c r="U41" i="21"/>
  <c r="U40" i="21"/>
  <c r="U37" i="21"/>
  <c r="U36" i="21"/>
  <c r="U35" i="21"/>
  <c r="U32" i="21"/>
  <c r="U31" i="21"/>
  <c r="U30" i="21"/>
  <c r="U27" i="21"/>
  <c r="U26" i="21"/>
  <c r="U25" i="21"/>
  <c r="U22" i="21"/>
  <c r="U21" i="21"/>
  <c r="U20" i="21"/>
  <c r="U17" i="21"/>
  <c r="U16" i="21"/>
  <c r="U15" i="21"/>
  <c r="U12" i="21"/>
  <c r="U11" i="21"/>
  <c r="U10" i="21"/>
  <c r="U9" i="21"/>
  <c r="U7" i="21"/>
  <c r="U6" i="21"/>
  <c r="U5" i="21"/>
  <c r="P7" i="21"/>
  <c r="P6" i="21"/>
  <c r="P5" i="21"/>
  <c r="P4" i="21"/>
  <c r="P5" i="15"/>
  <c r="U22" i="19"/>
  <c r="U21" i="19"/>
  <c r="U20" i="19"/>
  <c r="U17" i="19"/>
  <c r="U16" i="19"/>
  <c r="U15" i="19"/>
  <c r="U12" i="19"/>
  <c r="U10" i="19"/>
  <c r="U11" i="19"/>
  <c r="U7" i="19"/>
  <c r="U6" i="19"/>
  <c r="U5" i="19"/>
  <c r="U4" i="19"/>
  <c r="P7" i="19"/>
  <c r="P6" i="19"/>
  <c r="P5" i="19"/>
  <c r="P4" i="19"/>
  <c r="U42" i="18"/>
  <c r="U41" i="18"/>
  <c r="U40" i="18"/>
  <c r="U37" i="18"/>
  <c r="U36" i="18"/>
  <c r="U35" i="18"/>
  <c r="U34" i="18"/>
  <c r="U32" i="18"/>
  <c r="U31" i="18"/>
  <c r="U30" i="18"/>
  <c r="U27" i="18"/>
  <c r="U26" i="18"/>
  <c r="U25" i="18"/>
  <c r="U22" i="18"/>
  <c r="U21" i="18"/>
  <c r="U20" i="18"/>
  <c r="U17" i="18"/>
  <c r="U14" i="18"/>
  <c r="U16" i="18"/>
  <c r="U15" i="18"/>
  <c r="U12" i="18"/>
  <c r="U11" i="18"/>
  <c r="U10" i="18"/>
  <c r="U9" i="18"/>
  <c r="U7" i="18"/>
  <c r="U6" i="18"/>
  <c r="U5" i="18"/>
  <c r="P7" i="18"/>
  <c r="P6" i="18"/>
  <c r="P5" i="18"/>
  <c r="P4" i="18"/>
  <c r="U24" i="18"/>
  <c r="U42" i="17"/>
  <c r="U41" i="17"/>
  <c r="U40" i="17"/>
  <c r="U37" i="17"/>
  <c r="U36" i="17"/>
  <c r="U35" i="17"/>
  <c r="U32" i="17"/>
  <c r="U31" i="17"/>
  <c r="U30" i="17"/>
  <c r="U27" i="17"/>
  <c r="U26" i="17"/>
  <c r="U25" i="17"/>
  <c r="U22" i="17"/>
  <c r="U21" i="17"/>
  <c r="U20" i="17"/>
  <c r="U17" i="17"/>
  <c r="U16" i="17"/>
  <c r="U15" i="17"/>
  <c r="U14" i="17"/>
  <c r="U12" i="17"/>
  <c r="U11" i="17"/>
  <c r="U10" i="17"/>
  <c r="U7" i="17"/>
  <c r="U6" i="17"/>
  <c r="U5" i="17"/>
  <c r="P7" i="17"/>
  <c r="P6" i="17"/>
  <c r="P5" i="17"/>
  <c r="P7" i="16"/>
  <c r="P6" i="16"/>
  <c r="P5" i="16"/>
  <c r="U42" i="16"/>
  <c r="U41" i="16"/>
  <c r="U40" i="16"/>
  <c r="U37" i="16"/>
  <c r="U36" i="16"/>
  <c r="U35" i="16"/>
  <c r="U32" i="16"/>
  <c r="U31" i="16"/>
  <c r="U30" i="16"/>
  <c r="U29" i="16"/>
  <c r="U27" i="16"/>
  <c r="U26" i="16"/>
  <c r="U25" i="16"/>
  <c r="U24" i="16"/>
  <c r="U22" i="16"/>
  <c r="U21" i="16"/>
  <c r="U20" i="16"/>
  <c r="U17" i="16"/>
  <c r="U16" i="16"/>
  <c r="U15" i="16"/>
  <c r="U12" i="16"/>
  <c r="U11" i="16"/>
  <c r="U10" i="16"/>
  <c r="U7" i="16"/>
  <c r="U6" i="16"/>
  <c r="U5" i="16"/>
  <c r="U42" i="10"/>
  <c r="U41" i="10"/>
  <c r="U40" i="10"/>
  <c r="U37" i="10"/>
  <c r="U36" i="10"/>
  <c r="U35" i="10"/>
  <c r="U32" i="10"/>
  <c r="U31" i="10"/>
  <c r="U30" i="10"/>
  <c r="U27" i="10"/>
  <c r="U26" i="10"/>
  <c r="U25" i="10"/>
  <c r="U22" i="10"/>
  <c r="U21" i="10"/>
  <c r="U20" i="10"/>
  <c r="U19" i="10"/>
  <c r="U17" i="10"/>
  <c r="U16" i="10"/>
  <c r="U15" i="10"/>
  <c r="U14" i="10"/>
  <c r="U12" i="10"/>
  <c r="U11" i="10"/>
  <c r="U10" i="10"/>
  <c r="U7" i="10"/>
  <c r="U6" i="10"/>
  <c r="U5" i="10"/>
  <c r="U4" i="21"/>
  <c r="U19" i="16"/>
  <c r="U34" i="16"/>
  <c r="P4" i="17"/>
  <c r="U34" i="17"/>
  <c r="U14" i="19"/>
  <c r="U39" i="21"/>
  <c r="U29" i="21"/>
  <c r="U34" i="21"/>
  <c r="U19" i="21"/>
  <c r="U24" i="21"/>
  <c r="U14" i="21"/>
  <c r="U19" i="19"/>
  <c r="U9" i="19"/>
  <c r="U19" i="18"/>
  <c r="U4" i="18"/>
  <c r="U39" i="18"/>
  <c r="U29" i="18"/>
  <c r="U9" i="17"/>
  <c r="U39" i="17"/>
  <c r="U4" i="17"/>
  <c r="U29" i="17"/>
  <c r="U19" i="17"/>
  <c r="U24" i="17"/>
  <c r="P4" i="16"/>
  <c r="U39" i="16"/>
  <c r="U14" i="16"/>
  <c r="U9" i="16"/>
  <c r="U4" i="16"/>
  <c r="U24" i="10"/>
  <c r="U9" i="10"/>
  <c r="U34" i="10"/>
  <c r="U40" i="15" a="1"/>
  <c r="U32" i="15" a="1"/>
  <c r="U26" i="15" a="1"/>
  <c r="U20" i="15" a="1"/>
  <c r="U11" i="15" a="1"/>
  <c r="U5" i="15" a="1"/>
  <c r="U36" i="15" a="1"/>
  <c r="U30" i="15" a="1"/>
  <c r="U22" i="15" a="1"/>
  <c r="U16" i="15" a="1"/>
  <c r="U7" i="15" a="1"/>
  <c r="U37" i="15" a="1"/>
  <c r="U31" i="15" a="1"/>
  <c r="U25" i="15" a="1"/>
  <c r="U15" i="15" a="1"/>
  <c r="U10" i="15" a="1"/>
  <c r="U42" i="15" a="1"/>
  <c r="U41" i="15" a="1"/>
  <c r="U35" i="15" a="1"/>
  <c r="U27" i="15" a="1"/>
  <c r="U21" i="15" a="1"/>
  <c r="U12" i="15" a="1"/>
  <c r="U6" i="15" a="1"/>
  <c r="U6" i="15"/>
  <c r="U12" i="15"/>
  <c r="U21" i="15"/>
  <c r="U27" i="15"/>
  <c r="U35" i="15"/>
  <c r="U41" i="15"/>
  <c r="U42" i="15"/>
  <c r="U10" i="15"/>
  <c r="U15" i="15"/>
  <c r="U25" i="15"/>
  <c r="U31" i="15"/>
  <c r="U37" i="15"/>
  <c r="U7" i="15"/>
  <c r="U16" i="15"/>
  <c r="U22" i="15"/>
  <c r="U30" i="15"/>
  <c r="U36" i="15"/>
  <c r="U5" i="15"/>
  <c r="U11" i="15"/>
  <c r="U20" i="15"/>
  <c r="U26" i="15"/>
  <c r="U32" i="15"/>
  <c r="U40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P5" i="10" a="1"/>
  <c r="Q6" i="14" a="1"/>
  <c r="V17" i="14" a="1"/>
  <c r="V30" i="14" a="1"/>
  <c r="V10" i="14" a="1"/>
  <c r="Q7" i="14" a="1"/>
  <c r="V31" i="14" a="1"/>
  <c r="V5" i="14" a="1"/>
  <c r="Q5" i="14" a="1"/>
  <c r="V22" i="14" a="1"/>
  <c r="V16" i="14" a="1"/>
  <c r="V42" i="14" a="1"/>
  <c r="V21" i="14" a="1"/>
  <c r="V15" i="14" a="1"/>
  <c r="V20" i="14" a="1"/>
  <c r="V12" i="14" a="1"/>
  <c r="V41" i="14" a="1"/>
  <c r="V37" i="14" a="1"/>
  <c r="V7" i="14" a="1"/>
  <c r="V40" i="14" a="1"/>
  <c r="V27" i="14" a="1"/>
  <c r="V11" i="14" a="1"/>
  <c r="V26" i="14" a="1"/>
  <c r="V36" i="14" a="1"/>
  <c r="V32" i="14" a="1"/>
  <c r="V6" i="14" a="1"/>
  <c r="V35" i="14" a="1"/>
  <c r="U17" i="15" a="1"/>
  <c r="P6" i="15" a="1"/>
  <c r="P7" i="15" a="1"/>
  <c r="U4" i="15"/>
  <c r="P7" i="15"/>
  <c r="U29" i="15"/>
  <c r="U17" i="15"/>
  <c r="U14" i="15"/>
  <c r="P6" i="15"/>
  <c r="U34" i="15"/>
  <c r="Q7" i="14"/>
  <c r="Q6" i="14"/>
  <c r="Q5" i="14"/>
  <c r="V42" i="14"/>
  <c r="V41" i="14"/>
  <c r="V40" i="14"/>
  <c r="V37" i="14"/>
  <c r="V36" i="14"/>
  <c r="V35" i="14"/>
  <c r="V17" i="14"/>
  <c r="V22" i="14"/>
  <c r="V21" i="14"/>
  <c r="V20" i="14"/>
  <c r="V27" i="14"/>
  <c r="V26" i="14"/>
  <c r="V24" i="14"/>
  <c r="V32" i="14"/>
  <c r="V31" i="14"/>
  <c r="V30" i="14"/>
  <c r="V29" i="14"/>
  <c r="V16" i="14"/>
  <c r="V15" i="14"/>
  <c r="V12" i="14"/>
  <c r="V11" i="14"/>
  <c r="V7" i="14"/>
  <c r="V6" i="14"/>
  <c r="V5" i="14"/>
  <c r="V4" i="14"/>
  <c r="V10" i="14"/>
  <c r="P5" i="10"/>
  <c r="P6" i="10" a="1"/>
  <c r="V9" i="14"/>
  <c r="V39" i="14"/>
  <c r="P4" i="15"/>
  <c r="U19" i="15"/>
  <c r="U9" i="15"/>
  <c r="U24" i="15"/>
  <c r="U39" i="15"/>
  <c r="Q4" i="14"/>
  <c r="V14" i="14"/>
  <c r="V34" i="14"/>
  <c r="V19" i="14"/>
  <c r="U4" i="10"/>
  <c r="U39" i="10"/>
  <c r="P6" i="10"/>
  <c r="P7" i="10" a="1"/>
  <c r="U29" i="10"/>
  <c r="P7" i="10"/>
  <c r="P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<sst xmlns="http://schemas.openxmlformats.org/spreadsheetml/2006/main" count="1361" uniqueCount="31">
  <si>
    <t>202-1</t>
  </si>
  <si>
    <t>Давхар</t>
  </si>
  <si>
    <t>Айл</t>
  </si>
  <si>
    <t>Мэдрэгч</t>
  </si>
  <si>
    <t>Нийтийн эзэмшил</t>
  </si>
  <si>
    <t>Хонх</t>
  </si>
  <si>
    <t>Гар мэдээлэгч</t>
  </si>
  <si>
    <t>Relay</t>
  </si>
  <si>
    <t>Loop</t>
  </si>
  <si>
    <t>Loop 1</t>
  </si>
  <si>
    <t>Нийт мэдрэгч</t>
  </si>
  <si>
    <t>Бохирдсон</t>
  </si>
  <si>
    <t xml:space="preserve"> Comm Fault</t>
  </si>
  <si>
    <t>Хэвийн</t>
  </si>
  <si>
    <t>Loop 2</t>
  </si>
  <si>
    <t>Loop 3</t>
  </si>
  <si>
    <t>Loop 4</t>
  </si>
  <si>
    <t>202-2</t>
  </si>
  <si>
    <t>Loop 5</t>
  </si>
  <si>
    <t xml:space="preserve">Loop 5 </t>
  </si>
  <si>
    <t>Loop 6</t>
  </si>
  <si>
    <t>Loop 7</t>
  </si>
  <si>
    <t>Loop 8</t>
  </si>
  <si>
    <t xml:space="preserve">Tech </t>
  </si>
  <si>
    <t xml:space="preserve"> Нийтийн эзэмшил </t>
  </si>
  <si>
    <t>Tech</t>
  </si>
  <si>
    <t>B1</t>
  </si>
  <si>
    <t xml:space="preserve">Garage </t>
  </si>
  <si>
    <t>Basement</t>
  </si>
  <si>
    <t>Teknik</t>
  </si>
  <si>
    <t xml:space="preserve">Loop 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</si>
</sst>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9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1" applyFont="1" applyFill="1" applyBorder="1" applyAlignment="1">
      <alignment vertical="center"/>
    </xf>
    <xf numFmtId="10" fontId="2" fillId="0" borderId="0" xfId="1" applyNumberFormat="1" applyFont="1" applyFill="1" applyBorder="1" applyAlignment="1">
      <alignment vertical="center"/>
    </xf>
    <xf numFmtId="10" fontId="3" fillId="0" borderId="0" xfId="0" applyNumberFormat="1" applyFont="1" applyAlignment="1">
      <alignment vertical="center"/>
    </xf>
    <xf numFmtId="10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3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7" borderId="0" xfId="0" applyFill="1"/>
    <xf numFmtId="0" fontId="3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0" borderId="24" xfId="0" applyBorder="1"/>
    <xf numFmtId="0" fontId="0" fillId="0" borderId="1" xfId="0" applyBorder="1" applyAlignment="1">
      <alignment vertical="center"/>
    </xf>
    <xf numFmtId="0" fontId="0" fillId="7" borderId="1" xfId="0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0" fillId="4" borderId="1" xfId="0" applyFill="1" applyBorder="1"/>
    <xf numFmtId="0" fontId="0" fillId="4" borderId="3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6" borderId="34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1" xfId="0" applyFill="1" applyBorder="1"/>
    <xf numFmtId="0" fontId="0" fillId="6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/>
    </xf>
    <xf numFmtId="10" fontId="0" fillId="0" borderId="1" xfId="0" applyNumberFormat="1" applyBorder="1"/>
    <xf numFmtId="9" fontId="0" fillId="0" borderId="1" xfId="0" applyNumberFormat="1" applyBorder="1"/>
    <xf numFmtId="9" fontId="5" fillId="0" borderId="1" xfId="0" applyNumberFormat="1" applyFont="1" applyBorder="1" applyAlignment="1">
      <alignment vertical="center"/>
    </xf>
    <xf numFmtId="10" fontId="5" fillId="0" borderId="1" xfId="0" applyNumberFormat="1" applyFont="1" applyBorder="1" applyAlignment="1">
      <alignment vertical="center"/>
    </xf>
    <xf numFmtId="0" fontId="3" fillId="10" borderId="1" xfId="0" applyFont="1" applyFill="1" applyBorder="1" applyAlignment="1">
      <alignment vertical="center"/>
    </xf>
    <xf numFmtId="0" fontId="0" fillId="10" borderId="1" xfId="0" applyFill="1" applyBorder="1" applyAlignment="1">
      <alignment horizontal="center" vertical="center"/>
    </xf>
    <xf numFmtId="0" fontId="2" fillId="8" borderId="5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7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8" borderId="1" xfId="1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2" fillId="8" borderId="32" xfId="1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3" xfId="0" applyBorder="1" applyAlignment="1">
      <alignment horizontal="center"/>
    </xf>
    <xf numFmtId="0" fontId="3" fillId="9" borderId="1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12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</cellXfs>
  <cellStyles count="2">
    <cellStyle name="40% - Accent5" xfId="1" builtinId="47"/>
    <cellStyle name="Normal" xfId="0" builtinId="0"/>
  </cellStyles>
  <dxfs count="344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EA20-79B3-413F-B8C3-FD63C7542940}">
  <dimension ref="A1:W53"/>
  <sheetViews>
    <sheetView workbookViewId="0">
      <selection activeCell="Q8" sqref="Q8"/>
    </sheetView>
  </sheetViews>
  <sheetFormatPr defaultRowHeight="15"/>
  <cols>
    <col min="15" max="15" width="9.7109375" bestFit="1" customWidth="1"/>
  </cols>
  <sheetData>
    <row r="1" spans="1:23">
      <c r="A1" s="77" t="s">
        <v>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2"/>
      <c r="O1" s="3"/>
      <c r="P1" s="4"/>
      <c r="Q1" s="3"/>
      <c r="R1" s="3"/>
      <c r="S1" s="3"/>
      <c r="T1" s="3"/>
      <c r="U1" s="3"/>
      <c r="V1" s="3"/>
    </row>
    <row r="2" spans="1:23">
      <c r="A2" s="80" t="s">
        <v>1</v>
      </c>
      <c r="B2" s="81" t="s">
        <v>2</v>
      </c>
      <c r="C2" s="82" t="s">
        <v>3</v>
      </c>
      <c r="D2" s="83"/>
      <c r="E2" s="83"/>
      <c r="F2" s="83"/>
      <c r="G2" s="84"/>
      <c r="H2" s="88" t="s">
        <v>4</v>
      </c>
      <c r="I2" s="88" t="s">
        <v>4</v>
      </c>
      <c r="J2" s="81" t="s">
        <v>5</v>
      </c>
      <c r="K2" s="89" t="s">
        <v>6</v>
      </c>
      <c r="L2" s="81" t="s">
        <v>7</v>
      </c>
      <c r="M2" s="80" t="s">
        <v>8</v>
      </c>
      <c r="N2" s="2"/>
      <c r="P2" s="5"/>
      <c r="Q2" s="2"/>
      <c r="R2" s="2"/>
      <c r="S2" s="2"/>
      <c r="U2" s="2"/>
      <c r="V2" s="2"/>
    </row>
    <row r="3" spans="1:23">
      <c r="A3" s="80"/>
      <c r="B3" s="81"/>
      <c r="C3" s="85"/>
      <c r="D3" s="86"/>
      <c r="E3" s="86"/>
      <c r="F3" s="86"/>
      <c r="G3" s="87"/>
      <c r="H3" s="88"/>
      <c r="I3" s="88"/>
      <c r="J3" s="81"/>
      <c r="K3" s="89"/>
      <c r="L3" s="81"/>
      <c r="M3" s="80"/>
      <c r="N3" s="2"/>
      <c r="P3" s="90"/>
      <c r="Q3" s="90"/>
      <c r="R3" s="18"/>
      <c r="S3" s="2"/>
      <c r="T3" s="2"/>
      <c r="U3" s="2"/>
    </row>
    <row r="4" spans="1:23">
      <c r="A4" s="80">
        <v>1</v>
      </c>
      <c r="B4" s="8" t="str">
        <f>INT((ROW()-4)/2)+1 &amp; TEXT(MOD(ROW()-4,2)+1,"00")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5</v>
      </c>
      <c r="H4" s="9">
        <v>11</v>
      </c>
      <c r="I4" s="9">
        <v>12</v>
      </c>
      <c r="J4" s="9">
        <v>13</v>
      </c>
      <c r="K4" s="9">
        <v>14</v>
      </c>
      <c r="L4" s="9">
        <v>15</v>
      </c>
      <c r="M4" s="91" t="s">
        <v>9</v>
      </c>
      <c r="O4" s="92">
        <v>46000</v>
      </c>
      <c r="P4" s="12" t="s">
        <v>10</v>
      </c>
      <c r="Q4" s="13">
        <v>375</v>
      </c>
      <c r="R4" s="73">
        <v>1</v>
      </c>
      <c r="T4" s="92" t="s">
        <v>9</v>
      </c>
      <c r="U4" s="12" t="s">
        <v>10</v>
      </c>
      <c r="V4" s="13">
        <f>SUM(V5:V7)</f>
        <v>90</v>
      </c>
      <c r="W4" s="73">
        <v>1</v>
      </c>
    </row>
    <row r="5" spans="1:23">
      <c r="A5" s="80"/>
      <c r="B5" s="8" t="str">
        <f t="shared" ref="B5:B53" si="0">INT((ROW()-4)/2)+1 &amp; TEXT(MOD(ROW()-4,2)+1,"00")</f>
        <v>102</v>
      </c>
      <c r="C5" s="9">
        <v>6</v>
      </c>
      <c r="D5" s="9">
        <v>7</v>
      </c>
      <c r="E5" s="9">
        <v>8</v>
      </c>
      <c r="F5" s="9">
        <v>9</v>
      </c>
      <c r="G5" s="9">
        <v>10</v>
      </c>
      <c r="H5" s="95"/>
      <c r="I5" s="96"/>
      <c r="J5" s="96"/>
      <c r="K5" s="96"/>
      <c r="L5" s="97"/>
      <c r="M5" s="91"/>
      <c r="O5" s="93"/>
      <c r="P5" s="14" t="s">
        <v>11</v>
      </c>
      <c r="Q5" s="13">
        <v>5</v>
      </c>
      <c r="R5" s="74">
        <v>1.3299999999999999E-2</v>
      </c>
      <c r="T5" s="93"/>
      <c r="U5" s="14" t="s">
        <v>11</v>
      </c>
      <c r="V5" s="13" cm="1">
        <f t="array" ref="V5">CountByColor(C4:L15, U5)</f>
        <v>2</v>
      </c>
      <c r="W5" s="74">
        <v>2.2200000000000001E-2</v>
      </c>
    </row>
    <row r="6" spans="1:23">
      <c r="A6" s="98">
        <v>2</v>
      </c>
      <c r="B6" s="8" t="str">
        <f t="shared" si="0"/>
        <v>201</v>
      </c>
      <c r="C6" s="9">
        <v>16</v>
      </c>
      <c r="D6" s="9">
        <v>17</v>
      </c>
      <c r="E6" s="9">
        <v>18</v>
      </c>
      <c r="F6" s="9">
        <v>19</v>
      </c>
      <c r="G6" s="9">
        <v>20</v>
      </c>
      <c r="H6" s="31">
        <v>26</v>
      </c>
      <c r="I6" s="31">
        <v>27</v>
      </c>
      <c r="J6" s="31">
        <v>28</v>
      </c>
      <c r="K6" s="31">
        <v>29</v>
      </c>
      <c r="L6" s="31">
        <v>30</v>
      </c>
      <c r="M6" s="91"/>
      <c r="O6" s="93"/>
      <c r="P6" s="15" t="s">
        <v>12</v>
      </c>
      <c r="Q6" s="13">
        <v>1</v>
      </c>
      <c r="R6" s="74">
        <v>2.7000000000000001E-3</v>
      </c>
      <c r="T6" s="93"/>
      <c r="U6" s="15" t="s">
        <v>12</v>
      </c>
      <c r="V6" s="13" cm="1">
        <f t="array" ref="V6">CountByColor(C4:L15, U6)</f>
        <v>0</v>
      </c>
      <c r="W6" s="73">
        <v>0</v>
      </c>
    </row>
    <row r="7" spans="1:23">
      <c r="A7" s="99"/>
      <c r="B7" s="8" t="str">
        <f t="shared" si="0"/>
        <v>202</v>
      </c>
      <c r="C7" s="9">
        <v>21</v>
      </c>
      <c r="D7" s="9">
        <v>22</v>
      </c>
      <c r="E7" s="9">
        <v>23</v>
      </c>
      <c r="F7" s="9">
        <v>24</v>
      </c>
      <c r="G7" s="9">
        <v>25</v>
      </c>
      <c r="H7" s="95"/>
      <c r="I7" s="96"/>
      <c r="J7" s="96"/>
      <c r="K7" s="96"/>
      <c r="L7" s="97"/>
      <c r="M7" s="91"/>
      <c r="O7" s="94"/>
      <c r="P7" s="16" t="s">
        <v>13</v>
      </c>
      <c r="Q7" s="13">
        <v>369</v>
      </c>
      <c r="R7" s="74">
        <v>0.98399999999999999</v>
      </c>
      <c r="T7" s="94"/>
      <c r="U7" s="16" t="s">
        <v>13</v>
      </c>
      <c r="V7" s="13" cm="1">
        <f t="array" ref="V7">CountByColor(C4:L15, U7)</f>
        <v>88</v>
      </c>
      <c r="W7" s="74">
        <v>0.9778</v>
      </c>
    </row>
    <row r="8" spans="1:23">
      <c r="A8" s="98">
        <v>3</v>
      </c>
      <c r="B8" s="8" t="str">
        <f t="shared" si="0"/>
        <v>301</v>
      </c>
      <c r="C8" s="9">
        <v>31</v>
      </c>
      <c r="D8" s="9">
        <v>32</v>
      </c>
      <c r="E8" s="9">
        <v>33</v>
      </c>
      <c r="F8" s="9">
        <v>34</v>
      </c>
      <c r="G8" s="9">
        <v>35</v>
      </c>
      <c r="H8" s="9">
        <v>41</v>
      </c>
      <c r="I8" s="9">
        <v>42</v>
      </c>
      <c r="J8" s="9">
        <v>43</v>
      </c>
      <c r="K8" s="9">
        <v>44</v>
      </c>
      <c r="L8" s="9">
        <v>45</v>
      </c>
      <c r="M8" s="91"/>
      <c r="O8" s="21"/>
      <c r="U8" s="1"/>
      <c r="V8" s="1"/>
    </row>
    <row r="9" spans="1:23">
      <c r="A9" s="99"/>
      <c r="B9" s="8" t="str">
        <f t="shared" si="0"/>
        <v>302</v>
      </c>
      <c r="C9" s="9">
        <v>36</v>
      </c>
      <c r="D9" s="9">
        <v>37</v>
      </c>
      <c r="E9" s="9">
        <v>38</v>
      </c>
      <c r="F9" s="9">
        <v>39</v>
      </c>
      <c r="G9" s="11">
        <v>40</v>
      </c>
      <c r="H9" s="95"/>
      <c r="I9" s="96"/>
      <c r="J9" s="96"/>
      <c r="K9" s="96"/>
      <c r="L9" s="97"/>
      <c r="M9" s="91"/>
      <c r="T9" s="92" t="s">
        <v>14</v>
      </c>
      <c r="U9" s="12" t="s">
        <v>10</v>
      </c>
      <c r="V9" s="13">
        <f>SUM(V10:V12)</f>
        <v>90</v>
      </c>
      <c r="W9" s="73">
        <v>1</v>
      </c>
    </row>
    <row r="10" spans="1:23">
      <c r="A10" s="98">
        <v>4</v>
      </c>
      <c r="B10" s="8" t="str">
        <f t="shared" si="0"/>
        <v>401</v>
      </c>
      <c r="C10" s="9">
        <v>46</v>
      </c>
      <c r="D10" s="9">
        <v>47</v>
      </c>
      <c r="E10" s="9">
        <v>48</v>
      </c>
      <c r="F10" s="9">
        <v>49</v>
      </c>
      <c r="G10" s="9">
        <v>50</v>
      </c>
      <c r="H10" s="31">
        <v>56</v>
      </c>
      <c r="I10" s="31">
        <v>57</v>
      </c>
      <c r="J10" s="31">
        <v>58</v>
      </c>
      <c r="K10" s="31">
        <v>59</v>
      </c>
      <c r="L10" s="31">
        <v>60</v>
      </c>
      <c r="M10" s="91"/>
      <c r="T10" s="93"/>
      <c r="U10" s="14" t="s">
        <v>11</v>
      </c>
      <c r="V10" s="13" cm="1">
        <f t="array" ref="V10">CountByColor(C16:L27, U10)</f>
        <v>1</v>
      </c>
      <c r="W10" s="74">
        <v>1.11E-2</v>
      </c>
    </row>
    <row r="11" spans="1:23">
      <c r="A11" s="99"/>
      <c r="B11" s="8" t="str">
        <f t="shared" si="0"/>
        <v>402</v>
      </c>
      <c r="C11" s="9">
        <v>51</v>
      </c>
      <c r="D11" s="9">
        <v>52</v>
      </c>
      <c r="E11" s="9">
        <v>53</v>
      </c>
      <c r="F11" s="9">
        <v>54</v>
      </c>
      <c r="G11" s="9">
        <v>55</v>
      </c>
      <c r="H11" s="95"/>
      <c r="I11" s="96"/>
      <c r="J11" s="96"/>
      <c r="K11" s="96"/>
      <c r="L11" s="97"/>
      <c r="M11" s="91"/>
      <c r="T11" s="93"/>
      <c r="U11" s="15" t="s">
        <v>12</v>
      </c>
      <c r="V11" s="13" cm="1">
        <f t="array" ref="V11">CountByColor(C16:L27, U11)</f>
        <v>0</v>
      </c>
      <c r="W11" s="73">
        <v>0</v>
      </c>
    </row>
    <row r="12" spans="1:23">
      <c r="A12" s="98">
        <v>5</v>
      </c>
      <c r="B12" s="8" t="str">
        <f t="shared" si="0"/>
        <v>501</v>
      </c>
      <c r="C12" s="9">
        <v>61</v>
      </c>
      <c r="D12" s="9">
        <v>62</v>
      </c>
      <c r="E12" s="9">
        <v>63</v>
      </c>
      <c r="F12" s="9">
        <v>64</v>
      </c>
      <c r="G12" s="9">
        <v>65</v>
      </c>
      <c r="H12" s="9">
        <v>71</v>
      </c>
      <c r="I12" s="11">
        <v>72</v>
      </c>
      <c r="J12" s="9">
        <v>73</v>
      </c>
      <c r="K12" s="9">
        <v>74</v>
      </c>
      <c r="L12" s="9">
        <v>75</v>
      </c>
      <c r="M12" s="91"/>
      <c r="T12" s="94"/>
      <c r="U12" s="16" t="s">
        <v>13</v>
      </c>
      <c r="V12" s="13" cm="1">
        <f t="array" ref="V12">CountByColor(C16:L27, U12)</f>
        <v>89</v>
      </c>
      <c r="W12" s="74">
        <v>0.9889</v>
      </c>
    </row>
    <row r="13" spans="1:23">
      <c r="A13" s="99"/>
      <c r="B13" s="8" t="str">
        <f t="shared" si="0"/>
        <v>502</v>
      </c>
      <c r="C13" s="9">
        <v>66</v>
      </c>
      <c r="D13" s="9">
        <v>67</v>
      </c>
      <c r="E13" s="9">
        <v>68</v>
      </c>
      <c r="F13" s="9">
        <v>69</v>
      </c>
      <c r="G13" s="9">
        <v>70</v>
      </c>
      <c r="H13" s="95"/>
      <c r="I13" s="96"/>
      <c r="J13" s="96"/>
      <c r="K13" s="96"/>
      <c r="L13" s="97"/>
      <c r="M13" s="91"/>
      <c r="T13" s="1"/>
    </row>
    <row r="14" spans="1:23">
      <c r="A14" s="98">
        <v>6</v>
      </c>
      <c r="B14" s="8" t="str">
        <f t="shared" si="0"/>
        <v>601</v>
      </c>
      <c r="C14" s="9">
        <v>76</v>
      </c>
      <c r="D14" s="9">
        <v>77</v>
      </c>
      <c r="E14" s="9">
        <v>78</v>
      </c>
      <c r="F14" s="9">
        <v>79</v>
      </c>
      <c r="G14" s="9">
        <v>80</v>
      </c>
      <c r="H14" s="31">
        <v>86</v>
      </c>
      <c r="I14" s="31">
        <v>87</v>
      </c>
      <c r="J14" s="31">
        <v>88</v>
      </c>
      <c r="K14" s="31">
        <v>89</v>
      </c>
      <c r="L14" s="31">
        <v>90</v>
      </c>
      <c r="M14" s="91"/>
      <c r="T14" s="92" t="s">
        <v>15</v>
      </c>
      <c r="U14" s="12" t="s">
        <v>10</v>
      </c>
      <c r="V14" s="13">
        <f>SUM(V15:V17)</f>
        <v>90</v>
      </c>
      <c r="W14" s="73">
        <v>1</v>
      </c>
    </row>
    <row r="15" spans="1:23">
      <c r="A15" s="99"/>
      <c r="B15" s="8" t="str">
        <f t="shared" si="0"/>
        <v>602</v>
      </c>
      <c r="C15" s="9">
        <v>81</v>
      </c>
      <c r="D15" s="9">
        <v>82</v>
      </c>
      <c r="E15" s="9">
        <v>83</v>
      </c>
      <c r="F15" s="9">
        <v>84</v>
      </c>
      <c r="G15" s="9">
        <v>85</v>
      </c>
      <c r="H15" s="95"/>
      <c r="I15" s="96"/>
      <c r="J15" s="96"/>
      <c r="K15" s="96"/>
      <c r="L15" s="97"/>
      <c r="M15" s="91"/>
      <c r="T15" s="93"/>
      <c r="U15" s="14" t="s">
        <v>11</v>
      </c>
      <c r="V15" s="13" cm="1">
        <f t="array" ref="V15">CountByColor(C28:L39, U15)</f>
        <v>1</v>
      </c>
      <c r="W15" s="74">
        <v>1.11E-2</v>
      </c>
    </row>
    <row r="16" spans="1:23">
      <c r="A16" s="98">
        <v>7</v>
      </c>
      <c r="B16" s="8" t="str">
        <f t="shared" si="0"/>
        <v>701</v>
      </c>
      <c r="C16" s="9">
        <v>1</v>
      </c>
      <c r="D16" s="9">
        <v>2</v>
      </c>
      <c r="E16" s="9">
        <v>3</v>
      </c>
      <c r="F16" s="9">
        <v>4</v>
      </c>
      <c r="G16" s="9">
        <v>5</v>
      </c>
      <c r="H16" s="11">
        <v>11</v>
      </c>
      <c r="I16" s="9">
        <v>12</v>
      </c>
      <c r="J16" s="9">
        <v>13</v>
      </c>
      <c r="K16" s="9">
        <v>14</v>
      </c>
      <c r="L16" s="9">
        <v>15</v>
      </c>
      <c r="M16" s="91" t="s">
        <v>14</v>
      </c>
      <c r="T16" s="93"/>
      <c r="U16" s="15" t="s">
        <v>12</v>
      </c>
      <c r="V16" s="13" cm="1">
        <f t="array" ref="V16">CountByColor(C28:L39, U16)</f>
        <v>0</v>
      </c>
      <c r="W16" s="73">
        <v>0</v>
      </c>
    </row>
    <row r="17" spans="1:23">
      <c r="A17" s="99"/>
      <c r="B17" s="8" t="str">
        <f t="shared" si="0"/>
        <v>702</v>
      </c>
      <c r="C17" s="9">
        <v>6</v>
      </c>
      <c r="D17" s="9">
        <v>7</v>
      </c>
      <c r="E17" s="9">
        <v>8</v>
      </c>
      <c r="F17" s="9">
        <v>9</v>
      </c>
      <c r="G17" s="9">
        <v>10</v>
      </c>
      <c r="H17" s="95"/>
      <c r="I17" s="96"/>
      <c r="J17" s="96"/>
      <c r="K17" s="96"/>
      <c r="L17" s="97"/>
      <c r="M17" s="91"/>
      <c r="T17" s="94"/>
      <c r="U17" s="16" t="s">
        <v>13</v>
      </c>
      <c r="V17" s="13" cm="1">
        <f t="array" ref="V17">CountByColor(C28:L39, U17)</f>
        <v>89</v>
      </c>
      <c r="W17" s="74">
        <v>0.9889</v>
      </c>
    </row>
    <row r="18" spans="1:23">
      <c r="A18" s="98">
        <v>8</v>
      </c>
      <c r="B18" s="8" t="str">
        <f t="shared" si="0"/>
        <v>801</v>
      </c>
      <c r="C18" s="9">
        <v>16</v>
      </c>
      <c r="D18" s="9">
        <v>17</v>
      </c>
      <c r="E18" s="9">
        <v>18</v>
      </c>
      <c r="F18" s="9">
        <v>19</v>
      </c>
      <c r="G18" s="9">
        <v>20</v>
      </c>
      <c r="H18" s="31">
        <v>26</v>
      </c>
      <c r="I18" s="31">
        <v>27</v>
      </c>
      <c r="J18" s="31">
        <v>28</v>
      </c>
      <c r="K18" s="31">
        <v>29</v>
      </c>
      <c r="L18" s="31">
        <v>30</v>
      </c>
      <c r="M18" s="91"/>
      <c r="T18" s="1"/>
    </row>
    <row r="19" spans="1:23">
      <c r="A19" s="99"/>
      <c r="B19" s="8" t="str">
        <f t="shared" si="0"/>
        <v>802</v>
      </c>
      <c r="C19" s="9">
        <v>21</v>
      </c>
      <c r="D19" s="9">
        <v>22</v>
      </c>
      <c r="E19" s="9">
        <v>23</v>
      </c>
      <c r="F19" s="9">
        <v>24</v>
      </c>
      <c r="G19" s="9">
        <v>25</v>
      </c>
      <c r="H19" s="95"/>
      <c r="I19" s="96"/>
      <c r="J19" s="96"/>
      <c r="K19" s="96"/>
      <c r="L19" s="97"/>
      <c r="M19" s="91"/>
      <c r="T19" s="92" t="s">
        <v>16</v>
      </c>
      <c r="U19" s="12" t="s">
        <v>10</v>
      </c>
      <c r="V19" s="13">
        <f>SUM(V20:V22)</f>
        <v>105</v>
      </c>
      <c r="W19" s="73">
        <v>1</v>
      </c>
    </row>
    <row r="20" spans="1:23">
      <c r="A20" s="98">
        <v>9</v>
      </c>
      <c r="B20" s="8" t="str">
        <f t="shared" si="0"/>
        <v>901</v>
      </c>
      <c r="C20" s="9">
        <v>31</v>
      </c>
      <c r="D20" s="9">
        <v>32</v>
      </c>
      <c r="E20" s="9">
        <v>33</v>
      </c>
      <c r="F20" s="9">
        <v>34</v>
      </c>
      <c r="G20" s="9">
        <v>35</v>
      </c>
      <c r="H20" s="9">
        <v>41</v>
      </c>
      <c r="I20" s="9">
        <v>42</v>
      </c>
      <c r="J20" s="9">
        <v>43</v>
      </c>
      <c r="K20" s="9">
        <v>44</v>
      </c>
      <c r="L20" s="9">
        <v>45</v>
      </c>
      <c r="M20" s="91"/>
      <c r="T20" s="93"/>
      <c r="U20" s="14" t="s">
        <v>11</v>
      </c>
      <c r="V20" s="13" cm="1">
        <f t="array" ref="V20">CountByColor(C40:L53, U20)</f>
        <v>1</v>
      </c>
      <c r="W20" s="74">
        <v>9.4999999999999998E-3</v>
      </c>
    </row>
    <row r="21" spans="1:23">
      <c r="A21" s="99"/>
      <c r="B21" s="8" t="str">
        <f t="shared" si="0"/>
        <v>902</v>
      </c>
      <c r="C21" s="9">
        <v>36</v>
      </c>
      <c r="D21" s="9">
        <v>37</v>
      </c>
      <c r="E21" s="9">
        <v>38</v>
      </c>
      <c r="F21" s="9">
        <v>39</v>
      </c>
      <c r="G21" s="9">
        <v>40</v>
      </c>
      <c r="H21" s="95"/>
      <c r="I21" s="96"/>
      <c r="J21" s="96"/>
      <c r="K21" s="96"/>
      <c r="L21" s="97"/>
      <c r="M21" s="91"/>
      <c r="S21" s="1"/>
      <c r="T21" s="93"/>
      <c r="U21" s="15" t="s">
        <v>12</v>
      </c>
      <c r="V21" s="13" cm="1">
        <f t="array" ref="V21">CountByColor(C40:L53, U21)</f>
        <v>1</v>
      </c>
      <c r="W21" s="74">
        <v>9.4999999999999998E-3</v>
      </c>
    </row>
    <row r="22" spans="1:23">
      <c r="A22" s="98">
        <v>10</v>
      </c>
      <c r="B22" s="8" t="str">
        <f t="shared" si="0"/>
        <v>1001</v>
      </c>
      <c r="C22" s="9">
        <v>46</v>
      </c>
      <c r="D22" s="9">
        <v>47</v>
      </c>
      <c r="E22" s="9">
        <v>48</v>
      </c>
      <c r="F22" s="9">
        <v>49</v>
      </c>
      <c r="G22" s="9">
        <v>50</v>
      </c>
      <c r="H22" s="31">
        <v>56</v>
      </c>
      <c r="I22" s="31">
        <v>57</v>
      </c>
      <c r="J22" s="31">
        <v>58</v>
      </c>
      <c r="K22" s="31">
        <v>59</v>
      </c>
      <c r="L22" s="31">
        <v>60</v>
      </c>
      <c r="M22" s="91"/>
      <c r="T22" s="94"/>
      <c r="U22" s="16" t="s">
        <v>13</v>
      </c>
      <c r="V22" s="13" cm="1">
        <f t="array" ref="V22">CountByColor(C40:L53, U22)</f>
        <v>103</v>
      </c>
      <c r="W22" s="74">
        <v>0.98099999999999998</v>
      </c>
    </row>
    <row r="23" spans="1:23">
      <c r="A23" s="99"/>
      <c r="B23" s="8" t="str">
        <f t="shared" si="0"/>
        <v>1002</v>
      </c>
      <c r="C23" s="9">
        <v>51</v>
      </c>
      <c r="D23" s="9">
        <v>52</v>
      </c>
      <c r="E23" s="9">
        <v>53</v>
      </c>
      <c r="F23" s="9">
        <v>54</v>
      </c>
      <c r="G23" s="9">
        <v>55</v>
      </c>
      <c r="H23" s="95"/>
      <c r="I23" s="96"/>
      <c r="J23" s="96"/>
      <c r="K23" s="96"/>
      <c r="L23" s="97"/>
      <c r="M23" s="91"/>
      <c r="T23" s="1"/>
    </row>
    <row r="24" spans="1:23">
      <c r="A24" s="98">
        <v>11</v>
      </c>
      <c r="B24" s="8" t="str">
        <f t="shared" si="0"/>
        <v>1101</v>
      </c>
      <c r="C24" s="9">
        <v>61</v>
      </c>
      <c r="D24" s="9">
        <v>62</v>
      </c>
      <c r="E24" s="9">
        <v>63</v>
      </c>
      <c r="F24" s="9">
        <v>64</v>
      </c>
      <c r="G24" s="9">
        <v>65</v>
      </c>
      <c r="H24" s="9">
        <v>71</v>
      </c>
      <c r="I24" s="9">
        <v>72</v>
      </c>
      <c r="J24" s="9">
        <v>73</v>
      </c>
      <c r="K24" s="9">
        <v>74</v>
      </c>
      <c r="L24" s="9">
        <v>75</v>
      </c>
      <c r="M24" s="91"/>
    </row>
    <row r="25" spans="1:23">
      <c r="A25" s="99"/>
      <c r="B25" s="8" t="str">
        <f t="shared" si="0"/>
        <v>1102</v>
      </c>
      <c r="C25" s="9">
        <v>66</v>
      </c>
      <c r="D25" s="9">
        <v>67</v>
      </c>
      <c r="E25" s="9">
        <v>68</v>
      </c>
      <c r="F25" s="9">
        <v>69</v>
      </c>
      <c r="G25" s="9">
        <v>70</v>
      </c>
      <c r="H25" s="95"/>
      <c r="I25" s="96"/>
      <c r="J25" s="96"/>
      <c r="K25" s="96"/>
      <c r="L25" s="97"/>
      <c r="M25" s="91"/>
    </row>
    <row r="26" spans="1:23">
      <c r="A26" s="98">
        <v>12</v>
      </c>
      <c r="B26" s="8" t="str">
        <f t="shared" si="0"/>
        <v>1201</v>
      </c>
      <c r="C26" s="9">
        <v>76</v>
      </c>
      <c r="D26" s="9">
        <v>77</v>
      </c>
      <c r="E26" s="9">
        <v>78</v>
      </c>
      <c r="F26" s="9">
        <v>79</v>
      </c>
      <c r="G26" s="9">
        <v>80</v>
      </c>
      <c r="H26" s="31">
        <v>86</v>
      </c>
      <c r="I26" s="31">
        <v>87</v>
      </c>
      <c r="J26" s="31">
        <v>88</v>
      </c>
      <c r="K26" s="31">
        <v>89</v>
      </c>
      <c r="L26" s="31">
        <v>90</v>
      </c>
      <c r="M26" s="91"/>
    </row>
    <row r="27" spans="1:23">
      <c r="A27" s="99"/>
      <c r="B27" s="8" t="str">
        <f t="shared" si="0"/>
        <v>1202</v>
      </c>
      <c r="C27" s="9">
        <v>81</v>
      </c>
      <c r="D27" s="9">
        <v>82</v>
      </c>
      <c r="E27" s="9">
        <v>83</v>
      </c>
      <c r="F27" s="9">
        <v>84</v>
      </c>
      <c r="G27" s="9">
        <v>85</v>
      </c>
      <c r="H27" s="95"/>
      <c r="I27" s="96"/>
      <c r="J27" s="96"/>
      <c r="K27" s="96"/>
      <c r="L27" s="97"/>
      <c r="M27" s="91"/>
    </row>
    <row r="28" spans="1:23">
      <c r="A28" s="98">
        <v>13</v>
      </c>
      <c r="B28" s="8" t="str">
        <f t="shared" si="0"/>
        <v>1301</v>
      </c>
      <c r="C28" s="9">
        <v>1</v>
      </c>
      <c r="D28" s="9">
        <v>2</v>
      </c>
      <c r="E28" s="9">
        <v>3</v>
      </c>
      <c r="F28" s="9">
        <v>4</v>
      </c>
      <c r="G28" s="9">
        <v>5</v>
      </c>
      <c r="H28" s="9">
        <v>11</v>
      </c>
      <c r="I28" s="9">
        <v>12</v>
      </c>
      <c r="J28" s="9">
        <v>13</v>
      </c>
      <c r="K28" s="9">
        <v>14</v>
      </c>
      <c r="L28" s="9">
        <v>15</v>
      </c>
      <c r="M28" s="91" t="s">
        <v>15</v>
      </c>
    </row>
    <row r="29" spans="1:23">
      <c r="A29" s="99"/>
      <c r="B29" s="8" t="str">
        <f t="shared" si="0"/>
        <v>1302</v>
      </c>
      <c r="C29" s="9">
        <v>6</v>
      </c>
      <c r="D29" s="9">
        <v>7</v>
      </c>
      <c r="E29" s="9">
        <v>8</v>
      </c>
      <c r="F29" s="9">
        <v>9</v>
      </c>
      <c r="G29" s="9">
        <v>10</v>
      </c>
      <c r="H29" s="95"/>
      <c r="I29" s="96"/>
      <c r="J29" s="96"/>
      <c r="K29" s="96"/>
      <c r="L29" s="97"/>
      <c r="M29" s="91"/>
    </row>
    <row r="30" spans="1:23">
      <c r="A30" s="98">
        <v>14</v>
      </c>
      <c r="B30" s="8" t="str">
        <f t="shared" si="0"/>
        <v>1401</v>
      </c>
      <c r="C30" s="9">
        <v>16</v>
      </c>
      <c r="D30" s="9">
        <v>17</v>
      </c>
      <c r="E30" s="9">
        <v>18</v>
      </c>
      <c r="F30" s="9">
        <v>19</v>
      </c>
      <c r="G30" s="9">
        <v>20</v>
      </c>
      <c r="H30" s="31">
        <v>26</v>
      </c>
      <c r="I30" s="31">
        <v>27</v>
      </c>
      <c r="J30" s="31">
        <v>28</v>
      </c>
      <c r="K30" s="31">
        <v>29</v>
      </c>
      <c r="L30" s="31">
        <v>30</v>
      </c>
      <c r="M30" s="91"/>
    </row>
    <row r="31" spans="1:23">
      <c r="A31" s="99"/>
      <c r="B31" s="8" t="str">
        <f t="shared" si="0"/>
        <v>1402</v>
      </c>
      <c r="C31" s="9">
        <v>21</v>
      </c>
      <c r="D31" s="9">
        <v>22</v>
      </c>
      <c r="E31" s="9">
        <v>23</v>
      </c>
      <c r="F31" s="9">
        <v>24</v>
      </c>
      <c r="G31" s="9">
        <v>25</v>
      </c>
      <c r="H31" s="95"/>
      <c r="I31" s="96"/>
      <c r="J31" s="96"/>
      <c r="K31" s="96"/>
      <c r="L31" s="97"/>
      <c r="M31" s="91"/>
      <c r="P31" s="6"/>
    </row>
    <row r="32" spans="1:23">
      <c r="A32" s="98">
        <v>15</v>
      </c>
      <c r="B32" s="8" t="str">
        <f t="shared" si="0"/>
        <v>1501</v>
      </c>
      <c r="C32" s="9">
        <v>31</v>
      </c>
      <c r="D32" s="9">
        <v>32</v>
      </c>
      <c r="E32" s="9">
        <v>33</v>
      </c>
      <c r="F32" s="9">
        <v>34</v>
      </c>
      <c r="G32" s="9">
        <v>35</v>
      </c>
      <c r="H32" s="9">
        <v>41</v>
      </c>
      <c r="I32" s="9">
        <v>42</v>
      </c>
      <c r="J32" s="9">
        <v>43</v>
      </c>
      <c r="K32" s="9">
        <v>44</v>
      </c>
      <c r="L32" s="9">
        <v>45</v>
      </c>
      <c r="M32" s="91"/>
      <c r="P32" s="6"/>
    </row>
    <row r="33" spans="1:19">
      <c r="A33" s="99"/>
      <c r="B33" s="8" t="str">
        <f t="shared" si="0"/>
        <v>1502</v>
      </c>
      <c r="C33" s="9">
        <v>36</v>
      </c>
      <c r="D33" s="9">
        <v>37</v>
      </c>
      <c r="E33" s="9">
        <v>38</v>
      </c>
      <c r="F33" s="9">
        <v>39</v>
      </c>
      <c r="G33" s="9">
        <v>40</v>
      </c>
      <c r="H33" s="95"/>
      <c r="I33" s="96"/>
      <c r="J33" s="96"/>
      <c r="K33" s="96"/>
      <c r="L33" s="97"/>
      <c r="M33" s="91"/>
      <c r="P33" s="6"/>
    </row>
    <row r="34" spans="1:19">
      <c r="A34" s="98">
        <v>16</v>
      </c>
      <c r="B34" s="8" t="str">
        <f t="shared" si="0"/>
        <v>1601</v>
      </c>
      <c r="C34" s="9">
        <v>46</v>
      </c>
      <c r="D34" s="9">
        <v>47</v>
      </c>
      <c r="E34" s="9">
        <v>48</v>
      </c>
      <c r="F34" s="9">
        <v>49</v>
      </c>
      <c r="G34" s="9">
        <v>50</v>
      </c>
      <c r="H34" s="31">
        <v>56</v>
      </c>
      <c r="I34" s="31">
        <v>57</v>
      </c>
      <c r="J34" s="31">
        <v>58</v>
      </c>
      <c r="K34" s="31">
        <v>59</v>
      </c>
      <c r="L34" s="31">
        <v>60</v>
      </c>
      <c r="M34" s="91"/>
      <c r="P34" s="6"/>
    </row>
    <row r="35" spans="1:19">
      <c r="A35" s="99"/>
      <c r="B35" s="8" t="str">
        <f t="shared" si="0"/>
        <v>1602</v>
      </c>
      <c r="C35" s="9">
        <v>51</v>
      </c>
      <c r="D35" s="9">
        <v>52</v>
      </c>
      <c r="E35" s="9">
        <v>53</v>
      </c>
      <c r="F35" s="9">
        <v>54</v>
      </c>
      <c r="G35" s="11">
        <v>55</v>
      </c>
      <c r="H35" s="95"/>
      <c r="I35" s="96"/>
      <c r="J35" s="96"/>
      <c r="K35" s="96"/>
      <c r="L35" s="97"/>
      <c r="M35" s="91"/>
      <c r="P35" s="6"/>
    </row>
    <row r="36" spans="1:19">
      <c r="A36" s="98">
        <v>17</v>
      </c>
      <c r="B36" s="8" t="str">
        <f t="shared" si="0"/>
        <v>1701</v>
      </c>
      <c r="C36" s="9">
        <v>61</v>
      </c>
      <c r="D36" s="9">
        <v>62</v>
      </c>
      <c r="E36" s="9">
        <v>63</v>
      </c>
      <c r="F36" s="9">
        <v>64</v>
      </c>
      <c r="G36" s="9">
        <v>65</v>
      </c>
      <c r="H36" s="9">
        <v>71</v>
      </c>
      <c r="I36" s="9">
        <v>72</v>
      </c>
      <c r="J36" s="9">
        <v>73</v>
      </c>
      <c r="K36" s="9">
        <v>74</v>
      </c>
      <c r="L36" s="9">
        <v>75</v>
      </c>
      <c r="M36" s="91"/>
      <c r="O36" s="1"/>
      <c r="P36" s="6"/>
    </row>
    <row r="37" spans="1:19">
      <c r="A37" s="99"/>
      <c r="B37" s="8" t="str">
        <f t="shared" si="0"/>
        <v>1702</v>
      </c>
      <c r="C37" s="9">
        <v>66</v>
      </c>
      <c r="D37" s="9">
        <v>67</v>
      </c>
      <c r="E37" s="9">
        <v>68</v>
      </c>
      <c r="F37" s="9">
        <v>69</v>
      </c>
      <c r="G37" s="9">
        <v>70</v>
      </c>
      <c r="H37" s="95"/>
      <c r="I37" s="96"/>
      <c r="J37" s="96"/>
      <c r="K37" s="96"/>
      <c r="L37" s="97"/>
      <c r="M37" s="91"/>
      <c r="O37" s="1"/>
      <c r="P37" s="6"/>
    </row>
    <row r="38" spans="1:19">
      <c r="A38" s="98">
        <v>18</v>
      </c>
      <c r="B38" s="8" t="str">
        <f t="shared" si="0"/>
        <v>1801</v>
      </c>
      <c r="C38" s="9">
        <v>76</v>
      </c>
      <c r="D38" s="9">
        <v>77</v>
      </c>
      <c r="E38" s="9">
        <v>78</v>
      </c>
      <c r="F38" s="9">
        <v>79</v>
      </c>
      <c r="G38" s="9">
        <v>80</v>
      </c>
      <c r="H38" s="31">
        <v>86</v>
      </c>
      <c r="I38" s="31">
        <v>87</v>
      </c>
      <c r="J38" s="31">
        <v>88</v>
      </c>
      <c r="K38" s="31">
        <v>89</v>
      </c>
      <c r="L38" s="31">
        <v>90</v>
      </c>
      <c r="M38" s="91"/>
      <c r="O38" s="1"/>
    </row>
    <row r="39" spans="1:19">
      <c r="A39" s="99"/>
      <c r="B39" s="8" t="str">
        <f t="shared" si="0"/>
        <v>1802</v>
      </c>
      <c r="C39" s="9">
        <v>81</v>
      </c>
      <c r="D39" s="9">
        <v>82</v>
      </c>
      <c r="E39" s="9">
        <v>83</v>
      </c>
      <c r="F39" s="9">
        <v>84</v>
      </c>
      <c r="G39" s="9">
        <v>85</v>
      </c>
      <c r="H39" s="95"/>
      <c r="I39" s="96"/>
      <c r="J39" s="96"/>
      <c r="K39" s="96"/>
      <c r="L39" s="97"/>
      <c r="M39" s="91"/>
      <c r="O39" s="17"/>
    </row>
    <row r="40" spans="1:19">
      <c r="A40" s="98">
        <v>19</v>
      </c>
      <c r="B40" s="8" t="str">
        <f t="shared" si="0"/>
        <v>1901</v>
      </c>
      <c r="C40" s="9">
        <v>1</v>
      </c>
      <c r="D40" s="9">
        <v>2</v>
      </c>
      <c r="E40" s="9">
        <v>3</v>
      </c>
      <c r="F40" s="9">
        <v>4</v>
      </c>
      <c r="G40" s="9">
        <v>5</v>
      </c>
      <c r="H40" s="9">
        <v>11</v>
      </c>
      <c r="I40" s="9">
        <v>12</v>
      </c>
      <c r="J40" s="9">
        <v>13</v>
      </c>
      <c r="K40" s="9">
        <v>14</v>
      </c>
      <c r="L40" s="9">
        <v>15</v>
      </c>
      <c r="M40" s="100" t="s">
        <v>16</v>
      </c>
      <c r="N40" s="1"/>
      <c r="O40" s="6"/>
    </row>
    <row r="41" spans="1:19">
      <c r="A41" s="99"/>
      <c r="B41" s="8" t="str">
        <f t="shared" si="0"/>
        <v>1902</v>
      </c>
      <c r="C41" s="9">
        <v>6</v>
      </c>
      <c r="D41" s="9">
        <v>7</v>
      </c>
      <c r="E41" s="9">
        <v>8</v>
      </c>
      <c r="F41" s="9">
        <v>9</v>
      </c>
      <c r="G41" s="9">
        <v>10</v>
      </c>
      <c r="H41" s="95"/>
      <c r="I41" s="96"/>
      <c r="J41" s="96"/>
      <c r="K41" s="96"/>
      <c r="L41" s="97"/>
      <c r="M41" s="101"/>
      <c r="N41" s="1"/>
      <c r="O41" s="6"/>
    </row>
    <row r="42" spans="1:19">
      <c r="A42" s="98">
        <v>20</v>
      </c>
      <c r="B42" s="8" t="str">
        <f t="shared" si="0"/>
        <v>2001</v>
      </c>
      <c r="C42" s="9">
        <v>16</v>
      </c>
      <c r="D42" s="9">
        <v>17</v>
      </c>
      <c r="E42" s="9">
        <v>18</v>
      </c>
      <c r="F42" s="9">
        <v>19</v>
      </c>
      <c r="G42" s="9">
        <v>20</v>
      </c>
      <c r="H42" s="31">
        <v>26</v>
      </c>
      <c r="I42" s="31">
        <v>27</v>
      </c>
      <c r="J42" s="31">
        <v>28</v>
      </c>
      <c r="K42" s="31">
        <v>29</v>
      </c>
      <c r="L42" s="31">
        <v>30</v>
      </c>
      <c r="M42" s="101"/>
      <c r="N42" s="1"/>
      <c r="O42" s="6"/>
    </row>
    <row r="43" spans="1:19">
      <c r="A43" s="99"/>
      <c r="B43" s="8" t="str">
        <f t="shared" si="0"/>
        <v>2002</v>
      </c>
      <c r="C43" s="9">
        <v>21</v>
      </c>
      <c r="D43" s="9">
        <v>22</v>
      </c>
      <c r="E43" s="9">
        <v>23</v>
      </c>
      <c r="F43" s="9">
        <v>24</v>
      </c>
      <c r="G43" s="9">
        <v>25</v>
      </c>
      <c r="H43" s="95"/>
      <c r="I43" s="96"/>
      <c r="J43" s="96"/>
      <c r="K43" s="96"/>
      <c r="L43" s="97"/>
      <c r="M43" s="101"/>
      <c r="N43" s="1"/>
      <c r="O43" s="6"/>
      <c r="S43" s="1"/>
    </row>
    <row r="44" spans="1:19">
      <c r="A44" s="98">
        <v>21</v>
      </c>
      <c r="B44" s="8" t="str">
        <f t="shared" si="0"/>
        <v>2101</v>
      </c>
      <c r="C44" s="9">
        <v>31</v>
      </c>
      <c r="D44" s="9">
        <v>32</v>
      </c>
      <c r="E44" s="9">
        <v>33</v>
      </c>
      <c r="F44" s="9">
        <v>34</v>
      </c>
      <c r="G44" s="9">
        <v>35</v>
      </c>
      <c r="H44" s="9">
        <v>41</v>
      </c>
      <c r="I44" s="9">
        <v>42</v>
      </c>
      <c r="J44" s="9">
        <v>43</v>
      </c>
      <c r="K44" s="9">
        <v>44</v>
      </c>
      <c r="L44" s="9">
        <v>45</v>
      </c>
      <c r="M44" s="101"/>
      <c r="N44" s="1"/>
      <c r="O44" s="6"/>
      <c r="S44" s="1"/>
    </row>
    <row r="45" spans="1:19">
      <c r="A45" s="99"/>
      <c r="B45" s="8" t="str">
        <f t="shared" si="0"/>
        <v>2102</v>
      </c>
      <c r="C45" s="9">
        <v>36</v>
      </c>
      <c r="D45" s="9">
        <v>37</v>
      </c>
      <c r="E45" s="9">
        <v>38</v>
      </c>
      <c r="F45" s="9">
        <v>39</v>
      </c>
      <c r="G45" s="9">
        <v>40</v>
      </c>
      <c r="H45" s="95"/>
      <c r="I45" s="96"/>
      <c r="J45" s="96"/>
      <c r="K45" s="96"/>
      <c r="L45" s="97"/>
      <c r="M45" s="101"/>
      <c r="N45" s="1"/>
      <c r="O45" s="6"/>
      <c r="S45" s="1"/>
    </row>
    <row r="46" spans="1:19">
      <c r="A46" s="98">
        <v>22</v>
      </c>
      <c r="B46" s="8" t="str">
        <f t="shared" si="0"/>
        <v>2201</v>
      </c>
      <c r="C46" s="9">
        <v>46</v>
      </c>
      <c r="D46" s="9">
        <v>47</v>
      </c>
      <c r="E46" s="9">
        <v>48</v>
      </c>
      <c r="F46" s="9">
        <v>49</v>
      </c>
      <c r="G46" s="9">
        <v>50</v>
      </c>
      <c r="H46" s="31">
        <v>56</v>
      </c>
      <c r="I46" s="31">
        <v>57</v>
      </c>
      <c r="J46" s="31">
        <v>58</v>
      </c>
      <c r="K46" s="31">
        <v>59</v>
      </c>
      <c r="L46" s="31">
        <v>60</v>
      </c>
      <c r="M46" s="101"/>
      <c r="N46" s="1"/>
      <c r="O46" s="6"/>
      <c r="S46" s="1"/>
    </row>
    <row r="47" spans="1:19">
      <c r="A47" s="99"/>
      <c r="B47" s="8" t="str">
        <f t="shared" si="0"/>
        <v>2202</v>
      </c>
      <c r="C47" s="9">
        <v>51</v>
      </c>
      <c r="D47" s="9">
        <v>52</v>
      </c>
      <c r="E47" s="9">
        <v>53</v>
      </c>
      <c r="F47" s="9">
        <v>54</v>
      </c>
      <c r="G47" s="9">
        <v>55</v>
      </c>
      <c r="H47" s="95"/>
      <c r="I47" s="96"/>
      <c r="J47" s="96"/>
      <c r="K47" s="96"/>
      <c r="L47" s="97"/>
      <c r="M47" s="101"/>
      <c r="N47" s="1"/>
      <c r="O47" s="6"/>
      <c r="S47" s="1"/>
    </row>
    <row r="48" spans="1:19">
      <c r="A48" s="98">
        <v>23</v>
      </c>
      <c r="B48" s="8" t="str">
        <f t="shared" si="0"/>
        <v>2301</v>
      </c>
      <c r="C48" s="9">
        <v>61</v>
      </c>
      <c r="D48" s="9">
        <v>62</v>
      </c>
      <c r="E48" s="9">
        <v>63</v>
      </c>
      <c r="F48" s="9">
        <v>64</v>
      </c>
      <c r="G48" s="9">
        <v>65</v>
      </c>
      <c r="H48" s="9">
        <v>71</v>
      </c>
      <c r="I48" s="9">
        <v>72</v>
      </c>
      <c r="J48" s="9">
        <v>73</v>
      </c>
      <c r="K48" s="9">
        <v>74</v>
      </c>
      <c r="L48" s="9">
        <v>75</v>
      </c>
      <c r="M48" s="101"/>
      <c r="N48" s="1"/>
      <c r="O48" s="6"/>
      <c r="P48" s="6"/>
      <c r="S48" s="1"/>
    </row>
    <row r="49" spans="1:19">
      <c r="A49" s="99"/>
      <c r="B49" s="8" t="str">
        <f t="shared" si="0"/>
        <v>2302</v>
      </c>
      <c r="C49" s="9">
        <v>66</v>
      </c>
      <c r="D49" s="9">
        <v>67</v>
      </c>
      <c r="E49" s="9">
        <v>68</v>
      </c>
      <c r="F49" s="9">
        <v>69</v>
      </c>
      <c r="G49" s="9">
        <v>70</v>
      </c>
      <c r="H49" s="95"/>
      <c r="I49" s="96"/>
      <c r="J49" s="96"/>
      <c r="K49" s="96"/>
      <c r="L49" s="97"/>
      <c r="M49" s="101"/>
      <c r="N49" s="1"/>
      <c r="O49" s="6"/>
      <c r="P49" s="6"/>
      <c r="S49" s="1"/>
    </row>
    <row r="50" spans="1:19">
      <c r="A50" s="98">
        <v>24</v>
      </c>
      <c r="B50" s="8" t="str">
        <f t="shared" si="0"/>
        <v>2401</v>
      </c>
      <c r="C50" s="9">
        <v>76</v>
      </c>
      <c r="D50" s="9">
        <v>77</v>
      </c>
      <c r="E50" s="9">
        <v>78</v>
      </c>
      <c r="F50" s="9">
        <v>79</v>
      </c>
      <c r="G50" s="9">
        <v>80</v>
      </c>
      <c r="H50" s="31">
        <v>86</v>
      </c>
      <c r="I50" s="31">
        <v>87</v>
      </c>
      <c r="J50" s="31">
        <v>88</v>
      </c>
      <c r="K50" s="31">
        <v>89</v>
      </c>
      <c r="L50" s="31">
        <v>90</v>
      </c>
      <c r="M50" s="101"/>
      <c r="P50" s="6"/>
    </row>
    <row r="51" spans="1:19">
      <c r="A51" s="99"/>
      <c r="B51" s="8" t="str">
        <f t="shared" si="0"/>
        <v>2402</v>
      </c>
      <c r="C51" s="9">
        <v>81</v>
      </c>
      <c r="D51" s="9">
        <v>82</v>
      </c>
      <c r="E51" s="9">
        <v>83</v>
      </c>
      <c r="F51" s="9">
        <v>84</v>
      </c>
      <c r="G51" s="9">
        <v>85</v>
      </c>
      <c r="H51" s="95"/>
      <c r="I51" s="96"/>
      <c r="J51" s="96"/>
      <c r="K51" s="96"/>
      <c r="L51" s="97"/>
      <c r="M51" s="101"/>
      <c r="P51" s="6"/>
    </row>
    <row r="52" spans="1:19">
      <c r="A52" s="98">
        <v>25</v>
      </c>
      <c r="B52" s="8" t="str">
        <f t="shared" si="0"/>
        <v>2501</v>
      </c>
      <c r="C52" s="11">
        <v>91</v>
      </c>
      <c r="D52" s="9">
        <v>92</v>
      </c>
      <c r="E52" s="9">
        <v>93</v>
      </c>
      <c r="F52" s="9">
        <v>94</v>
      </c>
      <c r="G52" s="9">
        <v>95</v>
      </c>
      <c r="H52" s="9">
        <v>101</v>
      </c>
      <c r="I52" s="9">
        <v>102</v>
      </c>
      <c r="J52" s="9">
        <v>103</v>
      </c>
      <c r="K52" s="9">
        <v>104</v>
      </c>
      <c r="L52" s="9">
        <v>105</v>
      </c>
      <c r="M52" s="101"/>
      <c r="P52" s="6"/>
    </row>
    <row r="53" spans="1:19">
      <c r="A53" s="99"/>
      <c r="B53" s="8" t="str">
        <f t="shared" si="0"/>
        <v>2502</v>
      </c>
      <c r="C53" s="9">
        <v>96</v>
      </c>
      <c r="D53" s="9">
        <v>97</v>
      </c>
      <c r="E53" s="9">
        <v>98</v>
      </c>
      <c r="F53" s="10">
        <v>99</v>
      </c>
      <c r="G53" s="9">
        <v>100</v>
      </c>
      <c r="H53" s="95"/>
      <c r="I53" s="96"/>
      <c r="J53" s="96"/>
      <c r="K53" s="96"/>
      <c r="L53" s="97"/>
      <c r="M53" s="102"/>
      <c r="P53" s="6"/>
    </row>
  </sheetData>
  <mergeCells count="70">
    <mergeCell ref="A50:A51"/>
    <mergeCell ref="H51:L51"/>
    <mergeCell ref="A38:A39"/>
    <mergeCell ref="H39:L39"/>
    <mergeCell ref="A40:A41"/>
    <mergeCell ref="H41:L41"/>
    <mergeCell ref="A42:A43"/>
    <mergeCell ref="H43:L43"/>
    <mergeCell ref="A44:A45"/>
    <mergeCell ref="H45:L45"/>
    <mergeCell ref="M28:M39"/>
    <mergeCell ref="A52:A53"/>
    <mergeCell ref="H53:L53"/>
    <mergeCell ref="A46:A47"/>
    <mergeCell ref="H47:L47"/>
    <mergeCell ref="A48:A49"/>
    <mergeCell ref="H49:L49"/>
    <mergeCell ref="A36:A37"/>
    <mergeCell ref="H37:L37"/>
    <mergeCell ref="A30:A31"/>
    <mergeCell ref="H31:L31"/>
    <mergeCell ref="A32:A33"/>
    <mergeCell ref="H33:L33"/>
    <mergeCell ref="A34:A35"/>
    <mergeCell ref="H35:L35"/>
    <mergeCell ref="M40:M53"/>
    <mergeCell ref="A24:A25"/>
    <mergeCell ref="H25:L25"/>
    <mergeCell ref="A26:A27"/>
    <mergeCell ref="H27:L27"/>
    <mergeCell ref="A28:A29"/>
    <mergeCell ref="H29:L29"/>
    <mergeCell ref="A18:A19"/>
    <mergeCell ref="H19:L19"/>
    <mergeCell ref="T19:T22"/>
    <mergeCell ref="A20:A21"/>
    <mergeCell ref="H21:L21"/>
    <mergeCell ref="A22:A23"/>
    <mergeCell ref="H23:L23"/>
    <mergeCell ref="A10:A11"/>
    <mergeCell ref="H11:L11"/>
    <mergeCell ref="A12:A13"/>
    <mergeCell ref="H13:L13"/>
    <mergeCell ref="H17:L17"/>
    <mergeCell ref="P3:Q3"/>
    <mergeCell ref="A4:A5"/>
    <mergeCell ref="M4:M15"/>
    <mergeCell ref="O4:O7"/>
    <mergeCell ref="T4:T7"/>
    <mergeCell ref="H5:L5"/>
    <mergeCell ref="A6:A7"/>
    <mergeCell ref="H7:L7"/>
    <mergeCell ref="A8:A9"/>
    <mergeCell ref="H9:L9"/>
    <mergeCell ref="A14:A15"/>
    <mergeCell ref="T14:T17"/>
    <mergeCell ref="H15:L15"/>
    <mergeCell ref="A16:A17"/>
    <mergeCell ref="M16:M27"/>
    <mergeCell ref="T9:T12"/>
    <mergeCell ref="A1:M1"/>
    <mergeCell ref="A2:A3"/>
    <mergeCell ref="B2:B3"/>
    <mergeCell ref="C2:G3"/>
    <mergeCell ref="H2:H3"/>
    <mergeCell ref="I2:I3"/>
    <mergeCell ref="J2:J3"/>
    <mergeCell ref="K2:K3"/>
    <mergeCell ref="L2:L3"/>
    <mergeCell ref="M2:M3"/>
  </mergeCells>
  <conditionalFormatting sqref="F10:G10">
    <cfRule type="cellIs" dxfId="343" priority="16" operator="equal">
      <formula>"Ногоон"</formula>
    </cfRule>
    <cfRule type="cellIs" dxfId="342" priority="17" operator="equal">
      <formula>"Улаан"</formula>
    </cfRule>
  </conditionalFormatting>
  <conditionalFormatting sqref="C4:L4 C5:H5 C6:G15 H8:L8 H9 H12:L12 H13 C16:L16 C17:H17 C18:G27 H20:L20 H21 H24:L24 H25 C28:L28 C29:H29 C30:G39 H32:L32 H33 H36:L36 H37 C40:L40 C41:H41 C42:G51 H44:L44 H45 H48:L48 H49 C52:L52 C53:H53">
    <cfRule type="cellIs" dxfId="341" priority="15" operator="equal">
      <formula>"Улаан"</formula>
    </cfRule>
  </conditionalFormatting>
  <conditionalFormatting sqref="F22:G22">
    <cfRule type="cellIs" dxfId="340" priority="13" operator="equal">
      <formula>"Ногоон"</formula>
    </cfRule>
    <cfRule type="cellIs" dxfId="339" priority="14" operator="equal">
      <formula>"Улаан"</formula>
    </cfRule>
  </conditionalFormatting>
  <conditionalFormatting sqref="F34:G34">
    <cfRule type="cellIs" dxfId="338" priority="11" operator="equal">
      <formula>"Ногоон"</formula>
    </cfRule>
    <cfRule type="cellIs" dxfId="337" priority="12" operator="equal">
      <formula>"Улаан"</formula>
    </cfRule>
  </conditionalFormatting>
  <conditionalFormatting sqref="F46:G46">
    <cfRule type="cellIs" dxfId="336" priority="9" operator="equal">
      <formula>"Ногоон"</formula>
    </cfRule>
    <cfRule type="cellIs" dxfId="335" priority="10" operator="equal">
      <formula>"Улаан"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953F-22BD-4A07-9AD5-B7FF32D06D7C}">
  <dimension ref="A1:W53"/>
  <sheetViews>
    <sheetView topLeftCell="L1" workbookViewId="0">
      <selection activeCell="Q26" sqref="Q26"/>
    </sheetView>
  </sheetViews>
  <sheetFormatPr defaultRowHeight="15"/>
  <cols>
    <col min="15" max="15" width="9.7109375" bestFit="1" customWidth="1"/>
  </cols>
  <sheetData>
    <row r="1" spans="1:23">
      <c r="A1" s="77" t="s">
        <v>17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2"/>
      <c r="O1" s="3"/>
      <c r="P1" s="4"/>
      <c r="Q1" s="3"/>
      <c r="R1" s="3"/>
      <c r="S1" s="3"/>
      <c r="T1" s="3"/>
      <c r="U1" s="3"/>
      <c r="V1" s="3"/>
    </row>
    <row r="2" spans="1:23">
      <c r="A2" s="80" t="s">
        <v>1</v>
      </c>
      <c r="B2" s="81" t="s">
        <v>2</v>
      </c>
      <c r="C2" s="82" t="s">
        <v>3</v>
      </c>
      <c r="D2" s="83"/>
      <c r="E2" s="83"/>
      <c r="F2" s="83"/>
      <c r="G2" s="84"/>
      <c r="H2" s="88" t="s">
        <v>4</v>
      </c>
      <c r="I2" s="88" t="s">
        <v>4</v>
      </c>
      <c r="J2" s="81" t="s">
        <v>5</v>
      </c>
      <c r="K2" s="89" t="s">
        <v>6</v>
      </c>
      <c r="L2" s="81" t="s">
        <v>7</v>
      </c>
      <c r="M2" s="80" t="s">
        <v>8</v>
      </c>
      <c r="N2" s="2"/>
      <c r="P2" s="5"/>
      <c r="Q2" s="2"/>
      <c r="R2" s="2"/>
      <c r="S2" s="2"/>
      <c r="U2" s="2"/>
      <c r="V2" s="2"/>
    </row>
    <row r="3" spans="1:23">
      <c r="A3" s="80"/>
      <c r="B3" s="81"/>
      <c r="C3" s="85"/>
      <c r="D3" s="86"/>
      <c r="E3" s="86"/>
      <c r="F3" s="86"/>
      <c r="G3" s="87"/>
      <c r="H3" s="88"/>
      <c r="I3" s="88"/>
      <c r="J3" s="81"/>
      <c r="K3" s="89"/>
      <c r="L3" s="81"/>
      <c r="M3" s="80"/>
      <c r="N3" s="2"/>
      <c r="P3" s="90"/>
      <c r="Q3" s="90"/>
      <c r="R3" s="18"/>
      <c r="S3" s="2"/>
      <c r="T3" s="2"/>
      <c r="U3" s="2"/>
    </row>
    <row r="4" spans="1:23">
      <c r="A4" s="80">
        <v>1</v>
      </c>
      <c r="B4" s="8" t="str">
        <f>INT((ROW()-4)/2)+1 &amp; TEXT(MOD(ROW()-4,2)+1,"00")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5</v>
      </c>
      <c r="H4" s="9">
        <v>11</v>
      </c>
      <c r="I4" s="9">
        <v>12</v>
      </c>
      <c r="J4" s="9">
        <v>13</v>
      </c>
      <c r="K4" s="9">
        <v>14</v>
      </c>
      <c r="L4" s="9">
        <v>15</v>
      </c>
      <c r="M4" s="91" t="s">
        <v>14</v>
      </c>
      <c r="O4" s="92">
        <v>46000</v>
      </c>
      <c r="P4" s="12" t="s">
        <v>10</v>
      </c>
      <c r="Q4" s="13">
        <f>SUM(Q5:Q7)</f>
        <v>375</v>
      </c>
      <c r="R4" s="73">
        <v>1</v>
      </c>
      <c r="T4" s="92" t="s">
        <v>14</v>
      </c>
      <c r="U4" s="12" t="s">
        <v>10</v>
      </c>
      <c r="V4" s="13">
        <f>SUM(V5:V7)</f>
        <v>90</v>
      </c>
      <c r="W4" s="73">
        <v>1</v>
      </c>
    </row>
    <row r="5" spans="1:23">
      <c r="A5" s="80"/>
      <c r="B5" s="8" t="str">
        <f t="shared" ref="B5:B53" si="0">INT((ROW()-4)/2)+1 &amp; TEXT(MOD(ROW()-4,2)+1,"00")</f>
        <v>102</v>
      </c>
      <c r="C5" s="9">
        <v>6</v>
      </c>
      <c r="D5" s="9">
        <v>7</v>
      </c>
      <c r="E5" s="9">
        <v>8</v>
      </c>
      <c r="F5" s="9">
        <v>9</v>
      </c>
      <c r="G5" s="11">
        <v>10</v>
      </c>
      <c r="H5" s="95"/>
      <c r="I5" s="96"/>
      <c r="J5" s="96"/>
      <c r="K5" s="96"/>
      <c r="L5" s="97"/>
      <c r="M5" s="91"/>
      <c r="O5" s="93"/>
      <c r="P5" s="14" t="s">
        <v>11</v>
      </c>
      <c r="Q5" s="13" cm="1">
        <f t="array" ref="Q5">CountByColor(C4:L53, P5)</f>
        <v>21</v>
      </c>
      <c r="R5" s="74">
        <v>5.6000000000000001E-2</v>
      </c>
      <c r="T5" s="93"/>
      <c r="U5" s="14" t="s">
        <v>11</v>
      </c>
      <c r="V5" s="13" cm="1">
        <f t="array" ref="V5">CountByColor(C4:L15, U5)</f>
        <v>5</v>
      </c>
      <c r="W5" s="74">
        <v>5.5599999999999997E-2</v>
      </c>
    </row>
    <row r="6" spans="1:23">
      <c r="A6" s="98">
        <v>2</v>
      </c>
      <c r="B6" s="8" t="str">
        <f t="shared" si="0"/>
        <v>201</v>
      </c>
      <c r="C6" s="9">
        <v>16</v>
      </c>
      <c r="D6" s="9">
        <v>17</v>
      </c>
      <c r="E6" s="9">
        <v>18</v>
      </c>
      <c r="F6" s="9">
        <v>19</v>
      </c>
      <c r="G6" s="9">
        <v>20</v>
      </c>
      <c r="H6" s="31">
        <v>26</v>
      </c>
      <c r="I6" s="31">
        <v>27</v>
      </c>
      <c r="J6" s="31">
        <v>28</v>
      </c>
      <c r="K6" s="31">
        <v>29</v>
      </c>
      <c r="L6" s="31">
        <v>30</v>
      </c>
      <c r="M6" s="91"/>
      <c r="O6" s="93"/>
      <c r="P6" s="15" t="s">
        <v>12</v>
      </c>
      <c r="Q6" s="13" cm="1">
        <f t="array" ref="Q6">CountByColor(C4:L53, P6)</f>
        <v>3</v>
      </c>
      <c r="R6" s="74">
        <v>8.0000000000000002E-3</v>
      </c>
      <c r="T6" s="93"/>
      <c r="U6" s="15" t="s">
        <v>12</v>
      </c>
      <c r="V6" s="13" cm="1">
        <f t="array" ref="V6">CountByColor(C4:L15, U6)</f>
        <v>0</v>
      </c>
      <c r="W6" s="73">
        <v>0</v>
      </c>
    </row>
    <row r="7" spans="1:23">
      <c r="A7" s="99"/>
      <c r="B7" s="8" t="str">
        <f t="shared" si="0"/>
        <v>202</v>
      </c>
      <c r="C7" s="9">
        <v>21</v>
      </c>
      <c r="D7" s="9">
        <v>22</v>
      </c>
      <c r="E7" s="9">
        <v>23</v>
      </c>
      <c r="F7" s="9">
        <v>24</v>
      </c>
      <c r="G7" s="9">
        <v>25</v>
      </c>
      <c r="H7" s="95"/>
      <c r="I7" s="96"/>
      <c r="J7" s="96"/>
      <c r="K7" s="96"/>
      <c r="L7" s="97"/>
      <c r="M7" s="91"/>
      <c r="O7" s="94"/>
      <c r="P7" s="16" t="s">
        <v>13</v>
      </c>
      <c r="Q7" s="13" cm="1">
        <f t="array" ref="Q7">CountByColor(C4:L53, P7)</f>
        <v>351</v>
      </c>
      <c r="R7" s="74">
        <v>0.93600000000000005</v>
      </c>
      <c r="T7" s="94"/>
      <c r="U7" s="16" t="s">
        <v>13</v>
      </c>
      <c r="V7" s="13" cm="1">
        <f t="array" ref="V7">CountByColor(C4:L15, U7)</f>
        <v>85</v>
      </c>
      <c r="W7" s="74">
        <v>0.94440000000000002</v>
      </c>
    </row>
    <row r="8" spans="1:23">
      <c r="A8" s="98">
        <v>3</v>
      </c>
      <c r="B8" s="8" t="str">
        <f t="shared" si="0"/>
        <v>301</v>
      </c>
      <c r="C8" s="9">
        <v>31</v>
      </c>
      <c r="D8" s="9">
        <v>32</v>
      </c>
      <c r="E8" s="9">
        <v>33</v>
      </c>
      <c r="F8" s="9">
        <v>34</v>
      </c>
      <c r="G8" s="9">
        <v>35</v>
      </c>
      <c r="H8" s="9">
        <v>41</v>
      </c>
      <c r="I8" s="9">
        <v>42</v>
      </c>
      <c r="J8" s="9">
        <v>43</v>
      </c>
      <c r="K8" s="9">
        <v>44</v>
      </c>
      <c r="L8" s="9">
        <v>45</v>
      </c>
      <c r="M8" s="91"/>
      <c r="O8" s="21"/>
      <c r="U8" s="1"/>
      <c r="V8" s="1"/>
    </row>
    <row r="9" spans="1:23">
      <c r="A9" s="99"/>
      <c r="B9" s="8" t="str">
        <f t="shared" si="0"/>
        <v>302</v>
      </c>
      <c r="C9" s="9">
        <v>36</v>
      </c>
      <c r="D9" s="9">
        <v>37</v>
      </c>
      <c r="E9" s="9">
        <v>38</v>
      </c>
      <c r="F9" s="9">
        <v>39</v>
      </c>
      <c r="G9" s="9">
        <v>40</v>
      </c>
      <c r="H9" s="95"/>
      <c r="I9" s="96"/>
      <c r="J9" s="96"/>
      <c r="K9" s="96"/>
      <c r="L9" s="97"/>
      <c r="M9" s="91"/>
      <c r="T9" s="92" t="s">
        <v>15</v>
      </c>
      <c r="U9" s="12" t="s">
        <v>10</v>
      </c>
      <c r="V9" s="13">
        <f>SUM(V10:V12)</f>
        <v>90</v>
      </c>
      <c r="W9" s="73">
        <v>1</v>
      </c>
    </row>
    <row r="10" spans="1:23">
      <c r="A10" s="98">
        <v>4</v>
      </c>
      <c r="B10" s="8" t="str">
        <f t="shared" si="0"/>
        <v>401</v>
      </c>
      <c r="C10" s="9">
        <v>46</v>
      </c>
      <c r="D10" s="9">
        <v>47</v>
      </c>
      <c r="E10" s="9">
        <v>48</v>
      </c>
      <c r="F10" s="9">
        <v>49</v>
      </c>
      <c r="G10" s="11">
        <v>50</v>
      </c>
      <c r="H10" s="31">
        <v>56</v>
      </c>
      <c r="I10" s="31">
        <v>57</v>
      </c>
      <c r="J10" s="31">
        <v>58</v>
      </c>
      <c r="K10" s="31">
        <v>59</v>
      </c>
      <c r="L10" s="31">
        <v>60</v>
      </c>
      <c r="M10" s="91"/>
      <c r="T10" s="93"/>
      <c r="U10" s="14" t="s">
        <v>11</v>
      </c>
      <c r="V10" s="13" cm="1">
        <f t="array" ref="V10">CountByColor(C16:L27, U10)</f>
        <v>5</v>
      </c>
      <c r="W10" s="74">
        <v>5.5599999999999997E-2</v>
      </c>
    </row>
    <row r="11" spans="1:23">
      <c r="A11" s="99"/>
      <c r="B11" s="8" t="str">
        <f t="shared" si="0"/>
        <v>402</v>
      </c>
      <c r="C11" s="9">
        <v>51</v>
      </c>
      <c r="D11" s="11">
        <v>52</v>
      </c>
      <c r="E11" s="9">
        <v>53</v>
      </c>
      <c r="F11" s="9">
        <v>54</v>
      </c>
      <c r="G11" s="9">
        <v>55</v>
      </c>
      <c r="H11" s="95"/>
      <c r="I11" s="96"/>
      <c r="J11" s="96"/>
      <c r="K11" s="96"/>
      <c r="L11" s="97"/>
      <c r="M11" s="91"/>
      <c r="T11" s="93"/>
      <c r="U11" s="15" t="s">
        <v>12</v>
      </c>
      <c r="V11" s="13" cm="1">
        <f t="array" ref="V11">CountByColor(C16:L27, U11)</f>
        <v>0</v>
      </c>
      <c r="W11" s="73">
        <v>0</v>
      </c>
    </row>
    <row r="12" spans="1:23">
      <c r="A12" s="98">
        <v>5</v>
      </c>
      <c r="B12" s="8" t="str">
        <f t="shared" si="0"/>
        <v>501</v>
      </c>
      <c r="C12" s="9">
        <v>61</v>
      </c>
      <c r="D12" s="9">
        <v>62</v>
      </c>
      <c r="E12" s="9">
        <v>63</v>
      </c>
      <c r="F12" s="9">
        <v>64</v>
      </c>
      <c r="G12" s="9">
        <v>65</v>
      </c>
      <c r="H12" s="11">
        <v>71</v>
      </c>
      <c r="I12" s="9">
        <v>72</v>
      </c>
      <c r="J12" s="9">
        <v>73</v>
      </c>
      <c r="K12" s="9">
        <v>74</v>
      </c>
      <c r="L12" s="9">
        <v>75</v>
      </c>
      <c r="M12" s="91"/>
      <c r="T12" s="94"/>
      <c r="U12" s="16" t="s">
        <v>13</v>
      </c>
      <c r="V12" s="13" cm="1">
        <f t="array" ref="V12">CountByColor(C16:L27, U12)</f>
        <v>85</v>
      </c>
      <c r="W12" s="74">
        <v>0.94440000000000002</v>
      </c>
    </row>
    <row r="13" spans="1:23">
      <c r="A13" s="99"/>
      <c r="B13" s="8" t="str">
        <f t="shared" si="0"/>
        <v>502</v>
      </c>
      <c r="C13" s="9">
        <v>66</v>
      </c>
      <c r="D13" s="9">
        <v>67</v>
      </c>
      <c r="E13" s="9">
        <v>68</v>
      </c>
      <c r="F13" s="9">
        <v>69</v>
      </c>
      <c r="G13" s="9">
        <v>70</v>
      </c>
      <c r="H13" s="95"/>
      <c r="I13" s="96"/>
      <c r="J13" s="96"/>
      <c r="K13" s="96"/>
      <c r="L13" s="97"/>
      <c r="M13" s="91"/>
      <c r="T13" s="1"/>
    </row>
    <row r="14" spans="1:23">
      <c r="A14" s="98">
        <v>6</v>
      </c>
      <c r="B14" s="8" t="str">
        <f t="shared" si="0"/>
        <v>601</v>
      </c>
      <c r="C14" s="9">
        <v>76</v>
      </c>
      <c r="D14" s="9">
        <v>77</v>
      </c>
      <c r="E14" s="9">
        <v>78</v>
      </c>
      <c r="F14" s="9">
        <v>79</v>
      </c>
      <c r="G14" s="9">
        <v>80</v>
      </c>
      <c r="H14" s="31">
        <v>86</v>
      </c>
      <c r="I14" s="61">
        <v>87</v>
      </c>
      <c r="J14" s="31">
        <v>88</v>
      </c>
      <c r="K14" s="31">
        <v>89</v>
      </c>
      <c r="L14" s="31">
        <v>90</v>
      </c>
      <c r="M14" s="91"/>
      <c r="T14" s="92" t="s">
        <v>16</v>
      </c>
      <c r="U14" s="12" t="s">
        <v>10</v>
      </c>
      <c r="V14" s="13">
        <f>SUM(V15:V17)</f>
        <v>90</v>
      </c>
      <c r="W14" s="73">
        <v>1</v>
      </c>
    </row>
    <row r="15" spans="1:23">
      <c r="A15" s="99"/>
      <c r="B15" s="8" t="str">
        <f t="shared" si="0"/>
        <v>602</v>
      </c>
      <c r="C15" s="9">
        <v>81</v>
      </c>
      <c r="D15" s="9">
        <v>82</v>
      </c>
      <c r="E15" s="9">
        <v>83</v>
      </c>
      <c r="F15" s="9">
        <v>84</v>
      </c>
      <c r="G15" s="9">
        <v>85</v>
      </c>
      <c r="H15" s="95"/>
      <c r="I15" s="96"/>
      <c r="J15" s="96"/>
      <c r="K15" s="96"/>
      <c r="L15" s="97"/>
      <c r="M15" s="91"/>
      <c r="T15" s="93"/>
      <c r="U15" s="14" t="s">
        <v>11</v>
      </c>
      <c r="V15" s="13" cm="1">
        <f t="array" ref="V15">CountByColor(C28:L39, U15)</f>
        <v>3</v>
      </c>
      <c r="W15" s="74">
        <v>3.3300000000000003E-2</v>
      </c>
    </row>
    <row r="16" spans="1:23">
      <c r="A16" s="98">
        <v>7</v>
      </c>
      <c r="B16" s="8" t="str">
        <f t="shared" si="0"/>
        <v>701</v>
      </c>
      <c r="C16" s="9">
        <v>1</v>
      </c>
      <c r="D16" s="9">
        <v>2</v>
      </c>
      <c r="E16" s="9">
        <v>3</v>
      </c>
      <c r="F16" s="9">
        <v>4</v>
      </c>
      <c r="G16" s="9">
        <v>5</v>
      </c>
      <c r="H16" s="9">
        <v>11</v>
      </c>
      <c r="I16" s="9">
        <v>12</v>
      </c>
      <c r="J16" s="9">
        <v>13</v>
      </c>
      <c r="K16" s="9">
        <v>14</v>
      </c>
      <c r="L16" s="9">
        <v>15</v>
      </c>
      <c r="M16" s="91" t="s">
        <v>15</v>
      </c>
      <c r="T16" s="93"/>
      <c r="U16" s="15" t="s">
        <v>12</v>
      </c>
      <c r="V16" s="13" cm="1">
        <f t="array" ref="V16">CountByColor(C28:L39, U16)</f>
        <v>2</v>
      </c>
      <c r="W16" s="74">
        <v>2.2200000000000001E-2</v>
      </c>
    </row>
    <row r="17" spans="1:23">
      <c r="A17" s="99"/>
      <c r="B17" s="8" t="str">
        <f t="shared" si="0"/>
        <v>702</v>
      </c>
      <c r="C17" s="9">
        <v>6</v>
      </c>
      <c r="D17" s="9">
        <v>7</v>
      </c>
      <c r="E17" s="9">
        <v>8</v>
      </c>
      <c r="F17" s="9">
        <v>9</v>
      </c>
      <c r="G17" s="9">
        <v>10</v>
      </c>
      <c r="H17" s="95"/>
      <c r="I17" s="96"/>
      <c r="J17" s="96"/>
      <c r="K17" s="96"/>
      <c r="L17" s="97"/>
      <c r="M17" s="91"/>
      <c r="T17" s="94"/>
      <c r="U17" s="16" t="s">
        <v>13</v>
      </c>
      <c r="V17" s="13" cm="1">
        <f t="array" ref="V17">CountByColor(C28:L39, U17)</f>
        <v>85</v>
      </c>
      <c r="W17" s="74">
        <v>0.94440000000000002</v>
      </c>
    </row>
    <row r="18" spans="1:23">
      <c r="A18" s="98">
        <v>8</v>
      </c>
      <c r="B18" s="8" t="str">
        <f t="shared" si="0"/>
        <v>801</v>
      </c>
      <c r="C18" s="9">
        <v>16</v>
      </c>
      <c r="D18" s="9">
        <v>17</v>
      </c>
      <c r="E18" s="9">
        <v>18</v>
      </c>
      <c r="F18" s="9">
        <v>19</v>
      </c>
      <c r="G18" s="9">
        <v>20</v>
      </c>
      <c r="H18" s="31">
        <v>26</v>
      </c>
      <c r="I18" s="31">
        <v>27</v>
      </c>
      <c r="J18" s="31">
        <v>28</v>
      </c>
      <c r="K18" s="61">
        <v>29</v>
      </c>
      <c r="L18" s="31">
        <v>30</v>
      </c>
      <c r="M18" s="91"/>
      <c r="T18" s="1"/>
    </row>
    <row r="19" spans="1:23">
      <c r="A19" s="99"/>
      <c r="B19" s="8" t="str">
        <f t="shared" si="0"/>
        <v>802</v>
      </c>
      <c r="C19" s="9">
        <v>21</v>
      </c>
      <c r="D19" s="9">
        <v>22</v>
      </c>
      <c r="E19" s="9">
        <v>23</v>
      </c>
      <c r="F19" s="9">
        <v>24</v>
      </c>
      <c r="G19" s="9">
        <v>25</v>
      </c>
      <c r="H19" s="95"/>
      <c r="I19" s="96"/>
      <c r="J19" s="96"/>
      <c r="K19" s="96"/>
      <c r="L19" s="97"/>
      <c r="M19" s="91"/>
      <c r="T19" s="92" t="s">
        <v>18</v>
      </c>
      <c r="U19" s="12" t="s">
        <v>10</v>
      </c>
      <c r="V19" s="13">
        <f>SUM(V20:V22)</f>
        <v>105</v>
      </c>
      <c r="W19" s="73">
        <v>1</v>
      </c>
    </row>
    <row r="20" spans="1:23">
      <c r="A20" s="98">
        <v>9</v>
      </c>
      <c r="B20" s="8" t="str">
        <f t="shared" si="0"/>
        <v>901</v>
      </c>
      <c r="C20" s="9">
        <v>31</v>
      </c>
      <c r="D20" s="9">
        <v>32</v>
      </c>
      <c r="E20" s="9">
        <v>33</v>
      </c>
      <c r="F20" s="9">
        <v>34</v>
      </c>
      <c r="G20" s="9">
        <v>35</v>
      </c>
      <c r="H20" s="9">
        <v>41</v>
      </c>
      <c r="I20" s="9">
        <v>42</v>
      </c>
      <c r="J20" s="9">
        <v>43</v>
      </c>
      <c r="K20" s="11">
        <v>44</v>
      </c>
      <c r="L20" s="9">
        <v>45</v>
      </c>
      <c r="M20" s="91"/>
      <c r="T20" s="93"/>
      <c r="U20" s="14" t="s">
        <v>11</v>
      </c>
      <c r="V20" s="13" cm="1">
        <f t="array" ref="V20">CountByColor(C40:L53, U20)</f>
        <v>8</v>
      </c>
      <c r="W20" s="74">
        <v>7.6200000000000004E-2</v>
      </c>
    </row>
    <row r="21" spans="1:23">
      <c r="A21" s="99"/>
      <c r="B21" s="8" t="str">
        <f t="shared" si="0"/>
        <v>902</v>
      </c>
      <c r="C21" s="9">
        <v>36</v>
      </c>
      <c r="D21" s="9">
        <v>37</v>
      </c>
      <c r="E21" s="9">
        <v>38</v>
      </c>
      <c r="F21" s="9">
        <v>39</v>
      </c>
      <c r="G21" s="9">
        <v>40</v>
      </c>
      <c r="H21" s="95"/>
      <c r="I21" s="96"/>
      <c r="J21" s="96"/>
      <c r="K21" s="96"/>
      <c r="L21" s="97"/>
      <c r="M21" s="91"/>
      <c r="S21" s="1"/>
      <c r="T21" s="93"/>
      <c r="U21" s="15" t="s">
        <v>12</v>
      </c>
      <c r="V21" s="13" cm="1">
        <f t="array" ref="V21">CountByColor(C40:L53, U21)</f>
        <v>1</v>
      </c>
      <c r="W21" s="74">
        <v>9.4999999999999998E-3</v>
      </c>
    </row>
    <row r="22" spans="1:23">
      <c r="A22" s="98">
        <v>10</v>
      </c>
      <c r="B22" s="8" t="str">
        <f t="shared" si="0"/>
        <v>1001</v>
      </c>
      <c r="C22" s="9">
        <v>46</v>
      </c>
      <c r="D22" s="9">
        <v>47</v>
      </c>
      <c r="E22" s="9">
        <v>48</v>
      </c>
      <c r="F22" s="9">
        <v>49</v>
      </c>
      <c r="G22" s="9">
        <v>50</v>
      </c>
      <c r="H22" s="31">
        <v>56</v>
      </c>
      <c r="I22" s="31">
        <v>57</v>
      </c>
      <c r="J22" s="31">
        <v>58</v>
      </c>
      <c r="K22" s="31">
        <v>59</v>
      </c>
      <c r="L22" s="31">
        <v>60</v>
      </c>
      <c r="M22" s="91"/>
      <c r="T22" s="94"/>
      <c r="U22" s="16" t="s">
        <v>13</v>
      </c>
      <c r="V22" s="13" cm="1">
        <f t="array" ref="V22">CountByColor(C40:L53, U22)</f>
        <v>96</v>
      </c>
      <c r="W22" s="74">
        <v>0.9143</v>
      </c>
    </row>
    <row r="23" spans="1:23">
      <c r="A23" s="99"/>
      <c r="B23" s="8" t="str">
        <f t="shared" si="0"/>
        <v>1002</v>
      </c>
      <c r="C23" s="9">
        <v>51</v>
      </c>
      <c r="D23" s="9">
        <v>52</v>
      </c>
      <c r="E23" s="9">
        <v>53</v>
      </c>
      <c r="F23" s="9">
        <v>54</v>
      </c>
      <c r="G23" s="9">
        <v>55</v>
      </c>
      <c r="H23" s="95"/>
      <c r="I23" s="96"/>
      <c r="J23" s="96"/>
      <c r="K23" s="96"/>
      <c r="L23" s="97"/>
      <c r="M23" s="91"/>
      <c r="T23" s="1"/>
    </row>
    <row r="24" spans="1:23">
      <c r="A24" s="98">
        <v>11</v>
      </c>
      <c r="B24" s="8" t="str">
        <f t="shared" si="0"/>
        <v>1101</v>
      </c>
      <c r="C24" s="9">
        <v>61</v>
      </c>
      <c r="D24" s="9">
        <v>62</v>
      </c>
      <c r="E24" s="9">
        <v>63</v>
      </c>
      <c r="F24" s="9">
        <v>64</v>
      </c>
      <c r="G24" s="9">
        <v>65</v>
      </c>
      <c r="H24" s="9">
        <v>71</v>
      </c>
      <c r="I24" s="9">
        <v>72</v>
      </c>
      <c r="J24" s="9">
        <v>73</v>
      </c>
      <c r="K24" s="11">
        <v>74</v>
      </c>
      <c r="L24" s="9">
        <v>75</v>
      </c>
      <c r="M24" s="91"/>
    </row>
    <row r="25" spans="1:23">
      <c r="A25" s="99"/>
      <c r="B25" s="8" t="str">
        <f t="shared" si="0"/>
        <v>1102</v>
      </c>
      <c r="C25" s="9">
        <v>66</v>
      </c>
      <c r="D25" s="9">
        <v>67</v>
      </c>
      <c r="E25" s="9">
        <v>68</v>
      </c>
      <c r="F25" s="9">
        <v>69</v>
      </c>
      <c r="G25" s="9">
        <v>70</v>
      </c>
      <c r="H25" s="95"/>
      <c r="I25" s="96"/>
      <c r="J25" s="96"/>
      <c r="K25" s="96"/>
      <c r="L25" s="97"/>
      <c r="M25" s="91"/>
    </row>
    <row r="26" spans="1:23">
      <c r="A26" s="98">
        <v>12</v>
      </c>
      <c r="B26" s="8" t="str">
        <f t="shared" si="0"/>
        <v>1201</v>
      </c>
      <c r="C26" s="9">
        <v>76</v>
      </c>
      <c r="D26" s="9">
        <v>77</v>
      </c>
      <c r="E26" s="9">
        <v>78</v>
      </c>
      <c r="F26" s="9">
        <v>79</v>
      </c>
      <c r="G26" s="9">
        <v>80</v>
      </c>
      <c r="H26" s="31">
        <v>86</v>
      </c>
      <c r="I26" s="31">
        <v>87</v>
      </c>
      <c r="J26" s="31">
        <v>88</v>
      </c>
      <c r="K26" s="61">
        <v>89</v>
      </c>
      <c r="L26" s="31">
        <v>90</v>
      </c>
      <c r="M26" s="91"/>
    </row>
    <row r="27" spans="1:23">
      <c r="A27" s="99"/>
      <c r="B27" s="8" t="str">
        <f t="shared" si="0"/>
        <v>1202</v>
      </c>
      <c r="C27" s="9">
        <v>81</v>
      </c>
      <c r="D27" s="9">
        <v>82</v>
      </c>
      <c r="E27" s="9">
        <v>83</v>
      </c>
      <c r="F27" s="9">
        <v>84</v>
      </c>
      <c r="G27" s="11">
        <v>85</v>
      </c>
      <c r="H27" s="95"/>
      <c r="I27" s="96"/>
      <c r="J27" s="96"/>
      <c r="K27" s="96"/>
      <c r="L27" s="97"/>
      <c r="M27" s="91"/>
    </row>
    <row r="28" spans="1:23">
      <c r="A28" s="98">
        <v>13</v>
      </c>
      <c r="B28" s="8" t="str">
        <f t="shared" si="0"/>
        <v>1301</v>
      </c>
      <c r="C28" s="10">
        <v>1</v>
      </c>
      <c r="D28" s="9">
        <v>2</v>
      </c>
      <c r="E28" s="9">
        <v>3</v>
      </c>
      <c r="F28" s="9">
        <v>4</v>
      </c>
      <c r="G28" s="9">
        <v>5</v>
      </c>
      <c r="H28" s="9">
        <v>11</v>
      </c>
      <c r="I28" s="9">
        <v>12</v>
      </c>
      <c r="J28" s="9">
        <v>13</v>
      </c>
      <c r="K28" s="9">
        <v>14</v>
      </c>
      <c r="L28" s="9">
        <v>15</v>
      </c>
      <c r="M28" s="91" t="s">
        <v>16</v>
      </c>
    </row>
    <row r="29" spans="1:23">
      <c r="A29" s="99"/>
      <c r="B29" s="8" t="str">
        <f t="shared" si="0"/>
        <v>1302</v>
      </c>
      <c r="C29" s="11">
        <v>6</v>
      </c>
      <c r="D29" s="9">
        <v>7</v>
      </c>
      <c r="E29" s="9">
        <v>8</v>
      </c>
      <c r="F29" s="9">
        <v>9</v>
      </c>
      <c r="G29" s="9">
        <v>10</v>
      </c>
      <c r="H29" s="95"/>
      <c r="I29" s="96"/>
      <c r="J29" s="96"/>
      <c r="K29" s="96"/>
      <c r="L29" s="97"/>
      <c r="M29" s="91"/>
    </row>
    <row r="30" spans="1:23">
      <c r="A30" s="98">
        <v>14</v>
      </c>
      <c r="B30" s="8" t="str">
        <f t="shared" si="0"/>
        <v>1401</v>
      </c>
      <c r="C30" s="9">
        <v>16</v>
      </c>
      <c r="D30" s="9">
        <v>17</v>
      </c>
      <c r="E30" s="9">
        <v>18</v>
      </c>
      <c r="F30" s="9">
        <v>19</v>
      </c>
      <c r="G30" s="9">
        <v>20</v>
      </c>
      <c r="H30" s="31">
        <v>26</v>
      </c>
      <c r="I30" s="31">
        <v>27</v>
      </c>
      <c r="J30" s="31">
        <v>28</v>
      </c>
      <c r="K30" s="31">
        <v>29</v>
      </c>
      <c r="L30" s="31">
        <v>30</v>
      </c>
      <c r="M30" s="91"/>
    </row>
    <row r="31" spans="1:23">
      <c r="A31" s="99"/>
      <c r="B31" s="8" t="str">
        <f t="shared" si="0"/>
        <v>1402</v>
      </c>
      <c r="C31" s="9">
        <v>21</v>
      </c>
      <c r="D31" s="9">
        <v>22</v>
      </c>
      <c r="E31" s="9">
        <v>23</v>
      </c>
      <c r="F31" s="9">
        <v>24</v>
      </c>
      <c r="G31" s="9">
        <v>25</v>
      </c>
      <c r="H31" s="95"/>
      <c r="I31" s="96"/>
      <c r="J31" s="96"/>
      <c r="K31" s="96"/>
      <c r="L31" s="97"/>
      <c r="M31" s="91"/>
      <c r="P31" s="6"/>
    </row>
    <row r="32" spans="1:23">
      <c r="A32" s="98">
        <v>15</v>
      </c>
      <c r="B32" s="8" t="str">
        <f t="shared" si="0"/>
        <v>1501</v>
      </c>
      <c r="C32" s="9">
        <v>31</v>
      </c>
      <c r="D32" s="9">
        <v>32</v>
      </c>
      <c r="E32" s="9">
        <v>33</v>
      </c>
      <c r="F32" s="9">
        <v>34</v>
      </c>
      <c r="G32" s="9">
        <v>35</v>
      </c>
      <c r="H32" s="9">
        <v>41</v>
      </c>
      <c r="I32" s="9">
        <v>42</v>
      </c>
      <c r="J32" s="9">
        <v>43</v>
      </c>
      <c r="K32" s="9">
        <v>44</v>
      </c>
      <c r="L32" s="9">
        <v>45</v>
      </c>
      <c r="M32" s="91"/>
      <c r="P32" s="6"/>
    </row>
    <row r="33" spans="1:19">
      <c r="A33" s="99"/>
      <c r="B33" s="8" t="str">
        <f t="shared" si="0"/>
        <v>1502</v>
      </c>
      <c r="C33" s="9">
        <v>36</v>
      </c>
      <c r="D33" s="9">
        <v>37</v>
      </c>
      <c r="E33" s="9">
        <v>38</v>
      </c>
      <c r="F33" s="10">
        <v>39</v>
      </c>
      <c r="G33" s="9">
        <v>40</v>
      </c>
      <c r="H33" s="95"/>
      <c r="I33" s="96"/>
      <c r="J33" s="96"/>
      <c r="K33" s="96"/>
      <c r="L33" s="97"/>
      <c r="M33" s="91"/>
      <c r="P33" s="6"/>
    </row>
    <row r="34" spans="1:19">
      <c r="A34" s="98">
        <v>16</v>
      </c>
      <c r="B34" s="8" t="str">
        <f t="shared" si="0"/>
        <v>1601</v>
      </c>
      <c r="C34" s="9">
        <v>46</v>
      </c>
      <c r="D34" s="9">
        <v>47</v>
      </c>
      <c r="E34" s="9">
        <v>48</v>
      </c>
      <c r="F34" s="9">
        <v>49</v>
      </c>
      <c r="G34" s="9">
        <v>50</v>
      </c>
      <c r="H34" s="31">
        <v>56</v>
      </c>
      <c r="I34" s="31">
        <v>57</v>
      </c>
      <c r="J34" s="31">
        <v>58</v>
      </c>
      <c r="K34" s="31">
        <v>59</v>
      </c>
      <c r="L34" s="31">
        <v>60</v>
      </c>
      <c r="M34" s="91"/>
      <c r="P34" s="6"/>
    </row>
    <row r="35" spans="1:19">
      <c r="A35" s="99"/>
      <c r="B35" s="8" t="str">
        <f t="shared" si="0"/>
        <v>1602</v>
      </c>
      <c r="C35" s="9">
        <v>51</v>
      </c>
      <c r="D35" s="11">
        <v>52</v>
      </c>
      <c r="E35" s="9">
        <v>53</v>
      </c>
      <c r="F35" s="9">
        <v>54</v>
      </c>
      <c r="G35" s="11">
        <v>55</v>
      </c>
      <c r="H35" s="95"/>
      <c r="I35" s="96"/>
      <c r="J35" s="96"/>
      <c r="K35" s="96"/>
      <c r="L35" s="97"/>
      <c r="M35" s="91"/>
      <c r="P35" s="6"/>
    </row>
    <row r="36" spans="1:19">
      <c r="A36" s="98">
        <v>17</v>
      </c>
      <c r="B36" s="8" t="str">
        <f t="shared" si="0"/>
        <v>1701</v>
      </c>
      <c r="C36" s="9">
        <v>61</v>
      </c>
      <c r="D36" s="9">
        <v>62</v>
      </c>
      <c r="E36" s="9">
        <v>63</v>
      </c>
      <c r="F36" s="9">
        <v>64</v>
      </c>
      <c r="G36" s="9">
        <v>65</v>
      </c>
      <c r="H36" s="9">
        <v>71</v>
      </c>
      <c r="I36" s="9">
        <v>72</v>
      </c>
      <c r="J36" s="9">
        <v>73</v>
      </c>
      <c r="K36" s="9">
        <v>74</v>
      </c>
      <c r="L36" s="9">
        <v>75</v>
      </c>
      <c r="M36" s="91"/>
      <c r="O36" s="1"/>
      <c r="P36" s="6"/>
    </row>
    <row r="37" spans="1:19">
      <c r="A37" s="99"/>
      <c r="B37" s="8" t="str">
        <f t="shared" si="0"/>
        <v>1702</v>
      </c>
      <c r="C37" s="9">
        <v>66</v>
      </c>
      <c r="D37" s="9">
        <v>67</v>
      </c>
      <c r="E37" s="9">
        <v>68</v>
      </c>
      <c r="F37" s="9">
        <v>69</v>
      </c>
      <c r="G37" s="9">
        <v>70</v>
      </c>
      <c r="H37" s="95"/>
      <c r="I37" s="96"/>
      <c r="J37" s="96"/>
      <c r="K37" s="96"/>
      <c r="L37" s="97"/>
      <c r="M37" s="91"/>
      <c r="O37" s="1"/>
      <c r="P37" s="6"/>
    </row>
    <row r="38" spans="1:19">
      <c r="A38" s="98">
        <v>18</v>
      </c>
      <c r="B38" s="8" t="str">
        <f t="shared" si="0"/>
        <v>1801</v>
      </c>
      <c r="C38" s="9">
        <v>76</v>
      </c>
      <c r="D38" s="9">
        <v>77</v>
      </c>
      <c r="E38" s="9">
        <v>78</v>
      </c>
      <c r="F38" s="9">
        <v>79</v>
      </c>
      <c r="G38" s="9">
        <v>80</v>
      </c>
      <c r="H38" s="31">
        <v>86</v>
      </c>
      <c r="I38" s="31">
        <v>87</v>
      </c>
      <c r="J38" s="31">
        <v>88</v>
      </c>
      <c r="K38" s="31">
        <v>89</v>
      </c>
      <c r="L38" s="31">
        <v>90</v>
      </c>
      <c r="M38" s="91"/>
      <c r="O38" s="1"/>
    </row>
    <row r="39" spans="1:19">
      <c r="A39" s="99"/>
      <c r="B39" s="8" t="str">
        <f t="shared" si="0"/>
        <v>1802</v>
      </c>
      <c r="C39" s="9">
        <v>81</v>
      </c>
      <c r="D39" s="9">
        <v>82</v>
      </c>
      <c r="E39" s="9">
        <v>83</v>
      </c>
      <c r="F39" s="9">
        <v>84</v>
      </c>
      <c r="G39" s="9">
        <v>85</v>
      </c>
      <c r="H39" s="95"/>
      <c r="I39" s="96"/>
      <c r="J39" s="96"/>
      <c r="K39" s="96"/>
      <c r="L39" s="97"/>
      <c r="M39" s="91"/>
      <c r="O39" s="17"/>
    </row>
    <row r="40" spans="1:19">
      <c r="A40" s="98">
        <v>19</v>
      </c>
      <c r="B40" s="8" t="str">
        <f t="shared" si="0"/>
        <v>1901</v>
      </c>
      <c r="C40" s="9">
        <v>1</v>
      </c>
      <c r="D40" s="9">
        <v>2</v>
      </c>
      <c r="E40" s="9">
        <v>3</v>
      </c>
      <c r="F40" s="9">
        <v>4</v>
      </c>
      <c r="G40" s="9">
        <v>5</v>
      </c>
      <c r="H40" s="9">
        <v>11</v>
      </c>
      <c r="I40" s="9">
        <v>12</v>
      </c>
      <c r="J40" s="9">
        <v>13</v>
      </c>
      <c r="K40" s="9">
        <v>14</v>
      </c>
      <c r="L40" s="9">
        <v>15</v>
      </c>
      <c r="M40" s="100" t="s">
        <v>18</v>
      </c>
      <c r="N40" s="1"/>
      <c r="O40" s="6"/>
    </row>
    <row r="41" spans="1:19">
      <c r="A41" s="99"/>
      <c r="B41" s="8" t="str">
        <f t="shared" si="0"/>
        <v>1902</v>
      </c>
      <c r="C41" s="9">
        <v>6</v>
      </c>
      <c r="D41" s="9">
        <v>7</v>
      </c>
      <c r="E41" s="9">
        <v>8</v>
      </c>
      <c r="F41" s="9">
        <v>9</v>
      </c>
      <c r="G41" s="9">
        <v>10</v>
      </c>
      <c r="H41" s="95"/>
      <c r="I41" s="96"/>
      <c r="J41" s="96"/>
      <c r="K41" s="96"/>
      <c r="L41" s="97"/>
      <c r="M41" s="101"/>
      <c r="N41" s="1"/>
      <c r="O41" s="6"/>
    </row>
    <row r="42" spans="1:19">
      <c r="A42" s="98">
        <v>20</v>
      </c>
      <c r="B42" s="8" t="str">
        <f t="shared" si="0"/>
        <v>2001</v>
      </c>
      <c r="C42" s="9">
        <v>16</v>
      </c>
      <c r="D42" s="9">
        <v>17</v>
      </c>
      <c r="E42" s="9">
        <v>18</v>
      </c>
      <c r="F42" s="9">
        <v>19</v>
      </c>
      <c r="G42" s="9">
        <v>20</v>
      </c>
      <c r="H42" s="61">
        <v>26</v>
      </c>
      <c r="I42" s="31">
        <v>27</v>
      </c>
      <c r="J42" s="31">
        <v>28</v>
      </c>
      <c r="K42" s="31">
        <v>29</v>
      </c>
      <c r="L42" s="31">
        <v>30</v>
      </c>
      <c r="M42" s="101"/>
      <c r="N42" s="1"/>
      <c r="O42" s="6"/>
    </row>
    <row r="43" spans="1:19">
      <c r="A43" s="99"/>
      <c r="B43" s="8" t="str">
        <f t="shared" si="0"/>
        <v>2002</v>
      </c>
      <c r="C43" s="9">
        <v>21</v>
      </c>
      <c r="D43" s="9">
        <v>22</v>
      </c>
      <c r="E43" s="9">
        <v>23</v>
      </c>
      <c r="F43" s="9">
        <v>24</v>
      </c>
      <c r="G43" s="9">
        <v>25</v>
      </c>
      <c r="H43" s="95"/>
      <c r="I43" s="96"/>
      <c r="J43" s="96"/>
      <c r="K43" s="96"/>
      <c r="L43" s="97"/>
      <c r="M43" s="101"/>
      <c r="N43" s="1"/>
      <c r="O43" s="6"/>
      <c r="S43" s="1"/>
    </row>
    <row r="44" spans="1:19">
      <c r="A44" s="98">
        <v>21</v>
      </c>
      <c r="B44" s="8" t="str">
        <f t="shared" si="0"/>
        <v>2101</v>
      </c>
      <c r="C44" s="9">
        <v>31</v>
      </c>
      <c r="D44" s="9">
        <v>32</v>
      </c>
      <c r="E44" s="9">
        <v>33</v>
      </c>
      <c r="F44" s="9">
        <v>34</v>
      </c>
      <c r="G44" s="9">
        <v>35</v>
      </c>
      <c r="H44" s="9">
        <v>41</v>
      </c>
      <c r="I44" s="9">
        <v>42</v>
      </c>
      <c r="J44" s="9">
        <v>43</v>
      </c>
      <c r="K44" s="9">
        <v>44</v>
      </c>
      <c r="L44" s="9">
        <v>45</v>
      </c>
      <c r="M44" s="101"/>
      <c r="N44" s="1"/>
      <c r="O44" s="6"/>
      <c r="S44" s="1"/>
    </row>
    <row r="45" spans="1:19">
      <c r="A45" s="99"/>
      <c r="B45" s="8" t="str">
        <f t="shared" si="0"/>
        <v>2102</v>
      </c>
      <c r="C45" s="9">
        <v>36</v>
      </c>
      <c r="D45" s="9">
        <v>37</v>
      </c>
      <c r="E45" s="9">
        <v>38</v>
      </c>
      <c r="F45" s="9">
        <v>39</v>
      </c>
      <c r="G45" s="9">
        <v>40</v>
      </c>
      <c r="H45" s="95"/>
      <c r="I45" s="96"/>
      <c r="J45" s="96"/>
      <c r="K45" s="96"/>
      <c r="L45" s="97"/>
      <c r="M45" s="101"/>
      <c r="N45" s="1"/>
      <c r="O45" s="6"/>
      <c r="S45" s="1"/>
    </row>
    <row r="46" spans="1:19">
      <c r="A46" s="98">
        <v>22</v>
      </c>
      <c r="B46" s="8" t="str">
        <f t="shared" si="0"/>
        <v>2201</v>
      </c>
      <c r="C46" s="9">
        <v>46</v>
      </c>
      <c r="D46" s="9">
        <v>47</v>
      </c>
      <c r="E46" s="9">
        <v>48</v>
      </c>
      <c r="F46" s="9">
        <v>49</v>
      </c>
      <c r="G46" s="9">
        <v>50</v>
      </c>
      <c r="H46" s="31">
        <v>56</v>
      </c>
      <c r="I46" s="31">
        <v>57</v>
      </c>
      <c r="J46" s="31">
        <v>58</v>
      </c>
      <c r="K46" s="31">
        <v>59</v>
      </c>
      <c r="L46" s="31">
        <v>60</v>
      </c>
      <c r="M46" s="101"/>
      <c r="N46" s="1"/>
      <c r="O46" s="6"/>
      <c r="S46" s="1"/>
    </row>
    <row r="47" spans="1:19">
      <c r="A47" s="99"/>
      <c r="B47" s="8" t="str">
        <f t="shared" si="0"/>
        <v>2202</v>
      </c>
      <c r="C47" s="9">
        <v>51</v>
      </c>
      <c r="D47" s="9">
        <v>52</v>
      </c>
      <c r="E47" s="9">
        <v>53</v>
      </c>
      <c r="F47" s="9">
        <v>54</v>
      </c>
      <c r="G47" s="9">
        <v>55</v>
      </c>
      <c r="H47" s="95"/>
      <c r="I47" s="96"/>
      <c r="J47" s="96"/>
      <c r="K47" s="96"/>
      <c r="L47" s="97"/>
      <c r="M47" s="101"/>
      <c r="N47" s="1"/>
      <c r="O47" s="6"/>
      <c r="S47" s="1"/>
    </row>
    <row r="48" spans="1:19">
      <c r="A48" s="98">
        <v>23</v>
      </c>
      <c r="B48" s="8" t="str">
        <f t="shared" si="0"/>
        <v>2301</v>
      </c>
      <c r="C48" s="9">
        <v>61</v>
      </c>
      <c r="D48" s="9">
        <v>62</v>
      </c>
      <c r="E48" s="9">
        <v>63</v>
      </c>
      <c r="F48" s="9">
        <v>64</v>
      </c>
      <c r="G48" s="9">
        <v>65</v>
      </c>
      <c r="H48" s="9">
        <v>71</v>
      </c>
      <c r="I48" s="9">
        <v>72</v>
      </c>
      <c r="J48" s="9">
        <v>73</v>
      </c>
      <c r="K48" s="9">
        <v>74</v>
      </c>
      <c r="L48" s="9">
        <v>75</v>
      </c>
      <c r="M48" s="101"/>
      <c r="N48" s="1"/>
      <c r="O48" s="6"/>
      <c r="P48" s="6"/>
      <c r="S48" s="1"/>
    </row>
    <row r="49" spans="1:19">
      <c r="A49" s="99"/>
      <c r="B49" s="8" t="str">
        <f t="shared" si="0"/>
        <v>2302</v>
      </c>
      <c r="C49" s="9">
        <v>66</v>
      </c>
      <c r="D49" s="9">
        <v>67</v>
      </c>
      <c r="E49" s="9">
        <v>68</v>
      </c>
      <c r="F49" s="11">
        <v>69</v>
      </c>
      <c r="G49" s="11">
        <v>70</v>
      </c>
      <c r="H49" s="95"/>
      <c r="I49" s="96"/>
      <c r="J49" s="96"/>
      <c r="K49" s="96"/>
      <c r="L49" s="97"/>
      <c r="M49" s="101"/>
      <c r="N49" s="1"/>
      <c r="O49" s="6"/>
      <c r="P49" s="6"/>
      <c r="S49" s="1"/>
    </row>
    <row r="50" spans="1:19">
      <c r="A50" s="98">
        <v>24</v>
      </c>
      <c r="B50" s="8" t="str">
        <f t="shared" si="0"/>
        <v>2401</v>
      </c>
      <c r="C50" s="9">
        <v>76</v>
      </c>
      <c r="D50" s="11">
        <v>77</v>
      </c>
      <c r="E50" s="9">
        <v>78</v>
      </c>
      <c r="F50" s="11">
        <v>79</v>
      </c>
      <c r="G50" s="9">
        <v>80</v>
      </c>
      <c r="H50" s="31">
        <v>86</v>
      </c>
      <c r="I50" s="31">
        <v>87</v>
      </c>
      <c r="J50" s="31">
        <v>88</v>
      </c>
      <c r="K50" s="31">
        <v>89</v>
      </c>
      <c r="L50" s="31">
        <v>90</v>
      </c>
      <c r="M50" s="101"/>
      <c r="P50" s="6"/>
    </row>
    <row r="51" spans="1:19">
      <c r="A51" s="99"/>
      <c r="B51" s="8" t="str">
        <f t="shared" si="0"/>
        <v>2402</v>
      </c>
      <c r="C51" s="9">
        <v>81</v>
      </c>
      <c r="D51" s="9">
        <v>82</v>
      </c>
      <c r="E51" s="9">
        <v>83</v>
      </c>
      <c r="F51" s="11">
        <v>84</v>
      </c>
      <c r="G51" s="9">
        <v>85</v>
      </c>
      <c r="H51" s="95"/>
      <c r="I51" s="96"/>
      <c r="J51" s="96"/>
      <c r="K51" s="96"/>
      <c r="L51" s="97"/>
      <c r="M51" s="101"/>
      <c r="P51" s="6"/>
    </row>
    <row r="52" spans="1:19">
      <c r="A52" s="98">
        <v>25</v>
      </c>
      <c r="B52" s="8" t="str">
        <f t="shared" si="0"/>
        <v>2501</v>
      </c>
      <c r="C52" s="11">
        <v>91</v>
      </c>
      <c r="D52" s="9">
        <v>92</v>
      </c>
      <c r="E52" s="9">
        <v>93</v>
      </c>
      <c r="F52" s="9">
        <v>94</v>
      </c>
      <c r="G52" s="9">
        <v>95</v>
      </c>
      <c r="H52" s="9">
        <v>101</v>
      </c>
      <c r="I52" s="10">
        <v>102</v>
      </c>
      <c r="J52" s="9">
        <v>103</v>
      </c>
      <c r="K52" s="9">
        <v>104</v>
      </c>
      <c r="L52" s="9">
        <v>105</v>
      </c>
      <c r="M52" s="101"/>
      <c r="P52" s="6"/>
    </row>
    <row r="53" spans="1:19">
      <c r="A53" s="99"/>
      <c r="B53" s="8" t="str">
        <f t="shared" si="0"/>
        <v>2502</v>
      </c>
      <c r="C53" s="9">
        <v>96</v>
      </c>
      <c r="D53" s="11">
        <v>97</v>
      </c>
      <c r="E53" s="9">
        <v>98</v>
      </c>
      <c r="F53" s="9">
        <v>99</v>
      </c>
      <c r="G53" s="9">
        <v>100</v>
      </c>
      <c r="H53" s="95"/>
      <c r="I53" s="96"/>
      <c r="J53" s="96"/>
      <c r="K53" s="96"/>
      <c r="L53" s="97"/>
      <c r="M53" s="102"/>
      <c r="P53" s="6"/>
    </row>
  </sheetData>
  <mergeCells count="70">
    <mergeCell ref="A40:A41"/>
    <mergeCell ref="M40:M53"/>
    <mergeCell ref="H41:L41"/>
    <mergeCell ref="A42:A43"/>
    <mergeCell ref="H43:L43"/>
    <mergeCell ref="A44:A45"/>
    <mergeCell ref="H45:L45"/>
    <mergeCell ref="A46:A47"/>
    <mergeCell ref="H47:L47"/>
    <mergeCell ref="A48:A49"/>
    <mergeCell ref="H49:L49"/>
    <mergeCell ref="A50:A51"/>
    <mergeCell ref="H51:L51"/>
    <mergeCell ref="A52:A53"/>
    <mergeCell ref="H53:L53"/>
    <mergeCell ref="A24:A25"/>
    <mergeCell ref="H25:L25"/>
    <mergeCell ref="A26:A27"/>
    <mergeCell ref="H27:L27"/>
    <mergeCell ref="A28:A29"/>
    <mergeCell ref="M28:M39"/>
    <mergeCell ref="H29:L29"/>
    <mergeCell ref="A30:A31"/>
    <mergeCell ref="H31:L31"/>
    <mergeCell ref="A32:A33"/>
    <mergeCell ref="A38:A39"/>
    <mergeCell ref="H39:L39"/>
    <mergeCell ref="H33:L33"/>
    <mergeCell ref="A34:A35"/>
    <mergeCell ref="H35:L35"/>
    <mergeCell ref="A36:A37"/>
    <mergeCell ref="H37:L37"/>
    <mergeCell ref="A18:A19"/>
    <mergeCell ref="H19:L19"/>
    <mergeCell ref="T19:T22"/>
    <mergeCell ref="A20:A21"/>
    <mergeCell ref="H21:L21"/>
    <mergeCell ref="A22:A23"/>
    <mergeCell ref="H23:L23"/>
    <mergeCell ref="A10:A11"/>
    <mergeCell ref="H11:L11"/>
    <mergeCell ref="A12:A13"/>
    <mergeCell ref="H13:L13"/>
    <mergeCell ref="H17:L17"/>
    <mergeCell ref="P3:Q3"/>
    <mergeCell ref="A4:A5"/>
    <mergeCell ref="M4:M15"/>
    <mergeCell ref="O4:O7"/>
    <mergeCell ref="T4:T7"/>
    <mergeCell ref="H5:L5"/>
    <mergeCell ref="A6:A7"/>
    <mergeCell ref="H7:L7"/>
    <mergeCell ref="A8:A9"/>
    <mergeCell ref="H9:L9"/>
    <mergeCell ref="A14:A15"/>
    <mergeCell ref="T14:T17"/>
    <mergeCell ref="H15:L15"/>
    <mergeCell ref="A16:A17"/>
    <mergeCell ref="M16:M27"/>
    <mergeCell ref="T9:T12"/>
    <mergeCell ref="A1:M1"/>
    <mergeCell ref="A2:A3"/>
    <mergeCell ref="B2:B3"/>
    <mergeCell ref="C2:G3"/>
    <mergeCell ref="H2:H3"/>
    <mergeCell ref="I2:I3"/>
    <mergeCell ref="J2:J3"/>
    <mergeCell ref="K2:K3"/>
    <mergeCell ref="L2:L3"/>
    <mergeCell ref="M2:M3"/>
  </mergeCells>
  <conditionalFormatting sqref="F10:G10">
    <cfRule type="cellIs" dxfId="334" priority="8" operator="equal">
      <formula>"Ногоон"</formula>
    </cfRule>
    <cfRule type="cellIs" dxfId="333" priority="9" operator="equal">
      <formula>"Улаан"</formula>
    </cfRule>
  </conditionalFormatting>
  <conditionalFormatting sqref="C4:L4 C5:H5 C6:G15 H8:L8 H9 H12:L12 H13 C16:L16 C17:H17 C18:G27 H20:L20 H21 H24:L24 H25 C28:L28 C29:H29 C30:G39 H32:L32 H33 H36:L36 H37 C40:L40 C41:H41 C42:G51 H44:L44 H45 H48:L48 H49 C52:L52 C53:H53">
    <cfRule type="cellIs" dxfId="332" priority="7" operator="equal">
      <formula>"Улаан"</formula>
    </cfRule>
  </conditionalFormatting>
  <conditionalFormatting sqref="F22:G22">
    <cfRule type="cellIs" dxfId="331" priority="5" operator="equal">
      <formula>"Ногоон"</formula>
    </cfRule>
    <cfRule type="cellIs" dxfId="330" priority="6" operator="equal">
      <formula>"Улаан"</formula>
    </cfRule>
  </conditionalFormatting>
  <conditionalFormatting sqref="F34:G34">
    <cfRule type="cellIs" dxfId="329" priority="3" operator="equal">
      <formula>"Ногоон"</formula>
    </cfRule>
    <cfRule type="cellIs" dxfId="328" priority="4" operator="equal">
      <formula>"Улаан"</formula>
    </cfRule>
  </conditionalFormatting>
  <conditionalFormatting sqref="F46:G46">
    <cfRule type="cellIs" dxfId="327" priority="1" operator="equal">
      <formula>"Ногоон"</formula>
    </cfRule>
    <cfRule type="cellIs" dxfId="326" priority="2" operator="equal">
      <formula>"Улаан"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544E3-7B2F-4385-9367-C0580204891D}">
  <dimension ref="A1:W103"/>
  <sheetViews>
    <sheetView topLeftCell="K1" workbookViewId="0">
      <selection activeCell="W42" sqref="W42"/>
    </sheetView>
  </sheetViews>
  <sheetFormatPr defaultRowHeight="15"/>
  <cols>
    <col min="15" max="15" width="9.7109375" bestFit="1" customWidth="1"/>
  </cols>
  <sheetData>
    <row r="1" spans="1:23">
      <c r="A1" s="77">
        <v>203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2"/>
      <c r="O1" s="3"/>
      <c r="P1" s="4"/>
      <c r="Q1" s="3"/>
      <c r="R1" s="3"/>
      <c r="S1" s="3"/>
      <c r="T1" s="3"/>
      <c r="U1" s="3"/>
      <c r="V1" s="3"/>
      <c r="W1" s="3"/>
    </row>
    <row r="2" spans="1:23">
      <c r="A2" s="80" t="s">
        <v>1</v>
      </c>
      <c r="B2" s="81" t="s">
        <v>2</v>
      </c>
      <c r="C2" s="82" t="s">
        <v>3</v>
      </c>
      <c r="D2" s="83"/>
      <c r="E2" s="83"/>
      <c r="F2" s="83"/>
      <c r="G2" s="84"/>
      <c r="H2" s="88" t="s">
        <v>4</v>
      </c>
      <c r="I2" s="88" t="s">
        <v>4</v>
      </c>
      <c r="J2" s="81" t="s">
        <v>5</v>
      </c>
      <c r="K2" s="89" t="s">
        <v>6</v>
      </c>
      <c r="L2" s="81" t="s">
        <v>7</v>
      </c>
      <c r="M2" s="80" t="s">
        <v>8</v>
      </c>
      <c r="N2" s="2"/>
      <c r="P2" s="5"/>
      <c r="Q2" s="2"/>
      <c r="R2" s="2"/>
      <c r="S2" s="2"/>
      <c r="U2" s="2"/>
      <c r="V2" s="2"/>
      <c r="W2" s="2"/>
    </row>
    <row r="3" spans="1:23">
      <c r="A3" s="80"/>
      <c r="B3" s="81"/>
      <c r="C3" s="85"/>
      <c r="D3" s="86"/>
      <c r="E3" s="86"/>
      <c r="F3" s="86"/>
      <c r="G3" s="87"/>
      <c r="H3" s="88"/>
      <c r="I3" s="88"/>
      <c r="J3" s="81"/>
      <c r="K3" s="89"/>
      <c r="L3" s="81"/>
      <c r="M3" s="80"/>
      <c r="N3" s="2"/>
      <c r="P3" s="90"/>
      <c r="Q3" s="90"/>
      <c r="R3" s="18"/>
      <c r="S3" s="2"/>
      <c r="T3" s="2"/>
      <c r="U3" s="2"/>
      <c r="W3" s="2"/>
    </row>
    <row r="4" spans="1:23">
      <c r="A4" s="80">
        <v>1</v>
      </c>
      <c r="B4" s="8" t="str">
        <f>INT((ROW()-4)/2)+1 &amp; TEXT(MOD(ROW()-4,2)+1,"00")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5</v>
      </c>
      <c r="H4" s="10">
        <v>11</v>
      </c>
      <c r="I4" s="9">
        <v>12</v>
      </c>
      <c r="J4" s="9">
        <v>13</v>
      </c>
      <c r="K4" s="9">
        <v>14</v>
      </c>
      <c r="L4" s="9">
        <v>15</v>
      </c>
      <c r="M4" s="91" t="s">
        <v>9</v>
      </c>
      <c r="O4" s="92">
        <v>46000</v>
      </c>
      <c r="P4" s="12" t="s">
        <v>10</v>
      </c>
      <c r="Q4" s="13">
        <f>SUM(Q5:Q7)</f>
        <v>750</v>
      </c>
      <c r="R4" s="73">
        <v>1</v>
      </c>
      <c r="T4" s="92" t="s">
        <v>9</v>
      </c>
      <c r="U4" s="12" t="s">
        <v>10</v>
      </c>
      <c r="V4" s="13">
        <f>SUM(V5:V7)</f>
        <v>90</v>
      </c>
      <c r="W4" s="73">
        <v>1</v>
      </c>
    </row>
    <row r="5" spans="1:23">
      <c r="A5" s="80"/>
      <c r="B5" s="8" t="str">
        <f t="shared" ref="B5:B53" si="0">INT((ROW()-4)/2)+1 &amp; TEXT(MOD(ROW()-4,2)+1,"00")</f>
        <v>102</v>
      </c>
      <c r="C5" s="9">
        <v>6</v>
      </c>
      <c r="D5" s="9">
        <v>7</v>
      </c>
      <c r="E5" s="9">
        <v>8</v>
      </c>
      <c r="F5" s="11">
        <v>9</v>
      </c>
      <c r="G5" s="9">
        <v>10</v>
      </c>
      <c r="H5" s="95"/>
      <c r="I5" s="96"/>
      <c r="J5" s="96"/>
      <c r="K5" s="96"/>
      <c r="L5" s="97"/>
      <c r="M5" s="91"/>
      <c r="O5" s="93"/>
      <c r="P5" s="14" t="s">
        <v>11</v>
      </c>
      <c r="Q5" s="13" cm="1">
        <f t="array" ref="Q5">CountByColor(C4:L103, P5)</f>
        <v>57</v>
      </c>
      <c r="R5" s="74">
        <v>7.5999999999999998E-2</v>
      </c>
      <c r="T5" s="93"/>
      <c r="U5" s="14" t="s">
        <v>11</v>
      </c>
      <c r="V5" s="13" cm="1">
        <f t="array" ref="V5">CountByColor(C4:L15, U5)</f>
        <v>4</v>
      </c>
      <c r="W5" s="74">
        <v>4.4400000000000002E-2</v>
      </c>
    </row>
    <row r="6" spans="1:23">
      <c r="A6" s="98">
        <v>2</v>
      </c>
      <c r="B6" s="8" t="str">
        <f t="shared" si="0"/>
        <v>201</v>
      </c>
      <c r="C6" s="9">
        <v>16</v>
      </c>
      <c r="D6" s="9">
        <v>17</v>
      </c>
      <c r="E6" s="9">
        <v>18</v>
      </c>
      <c r="F6" s="9">
        <v>19</v>
      </c>
      <c r="G6" s="9">
        <v>20</v>
      </c>
      <c r="H6" s="31">
        <v>26</v>
      </c>
      <c r="I6" s="31">
        <v>27</v>
      </c>
      <c r="J6" s="31">
        <v>28</v>
      </c>
      <c r="K6" s="31">
        <v>29</v>
      </c>
      <c r="L6" s="31">
        <v>30</v>
      </c>
      <c r="M6" s="91"/>
      <c r="O6" s="93"/>
      <c r="P6" s="15" t="s">
        <v>12</v>
      </c>
      <c r="Q6" s="13" cm="1">
        <f t="array" ref="Q6">CountByColor(C4:L103, P6)</f>
        <v>7</v>
      </c>
      <c r="R6" s="74">
        <v>9.2999999999999992E-3</v>
      </c>
      <c r="T6" s="93"/>
      <c r="U6" s="15" t="s">
        <v>12</v>
      </c>
      <c r="V6" s="13" cm="1">
        <f t="array" ref="V6">CountByColor(C4:L15, U6)</f>
        <v>1</v>
      </c>
      <c r="W6" s="74">
        <v>1.11E-2</v>
      </c>
    </row>
    <row r="7" spans="1:23">
      <c r="A7" s="99"/>
      <c r="B7" s="8" t="str">
        <f t="shared" si="0"/>
        <v>202</v>
      </c>
      <c r="C7" s="9">
        <v>21</v>
      </c>
      <c r="D7" s="9">
        <v>22</v>
      </c>
      <c r="E7" s="9">
        <v>23</v>
      </c>
      <c r="F7" s="9">
        <v>24</v>
      </c>
      <c r="G7" s="9">
        <v>25</v>
      </c>
      <c r="H7" s="95"/>
      <c r="I7" s="96"/>
      <c r="J7" s="96"/>
      <c r="K7" s="96"/>
      <c r="L7" s="97"/>
      <c r="M7" s="91"/>
      <c r="O7" s="94"/>
      <c r="P7" s="16" t="s">
        <v>13</v>
      </c>
      <c r="Q7" s="13" cm="1">
        <f t="array" ref="Q7">CountByColor(C4:L103, P7)</f>
        <v>686</v>
      </c>
      <c r="R7" s="74">
        <v>0.91469999999999996</v>
      </c>
      <c r="T7" s="94"/>
      <c r="U7" s="16" t="s">
        <v>13</v>
      </c>
      <c r="V7" s="13" cm="1">
        <f t="array" ref="V7">CountByColor(C4:L15, U7)</f>
        <v>85</v>
      </c>
      <c r="W7" s="74">
        <v>0.94440000000000002</v>
      </c>
    </row>
    <row r="8" spans="1:23">
      <c r="A8" s="98">
        <v>3</v>
      </c>
      <c r="B8" s="8" t="str">
        <f t="shared" si="0"/>
        <v>301</v>
      </c>
      <c r="C8" s="9">
        <v>31</v>
      </c>
      <c r="D8" s="11">
        <v>32</v>
      </c>
      <c r="E8" s="11">
        <v>33</v>
      </c>
      <c r="F8" s="11">
        <v>34</v>
      </c>
      <c r="G8" s="9">
        <v>35</v>
      </c>
      <c r="H8" s="9">
        <v>41</v>
      </c>
      <c r="I8" s="9">
        <v>42</v>
      </c>
      <c r="J8" s="9">
        <v>43</v>
      </c>
      <c r="K8" s="9">
        <v>44</v>
      </c>
      <c r="L8" s="9">
        <v>45</v>
      </c>
      <c r="M8" s="91"/>
      <c r="O8" s="21"/>
      <c r="U8" s="1"/>
      <c r="V8" s="1"/>
    </row>
    <row r="9" spans="1:23">
      <c r="A9" s="99"/>
      <c r="B9" s="8" t="str">
        <f t="shared" si="0"/>
        <v>302</v>
      </c>
      <c r="C9" s="9">
        <v>36</v>
      </c>
      <c r="D9" s="9">
        <v>37</v>
      </c>
      <c r="E9" s="9">
        <v>38</v>
      </c>
      <c r="F9" s="9">
        <v>39</v>
      </c>
      <c r="G9" s="9">
        <v>40</v>
      </c>
      <c r="H9" s="95"/>
      <c r="I9" s="96"/>
      <c r="J9" s="96"/>
      <c r="K9" s="96"/>
      <c r="L9" s="97"/>
      <c r="M9" s="91"/>
      <c r="T9" s="92" t="s">
        <v>14</v>
      </c>
      <c r="U9" s="12" t="s">
        <v>10</v>
      </c>
      <c r="V9" s="13">
        <f>SUM(V10:V12)</f>
        <v>90</v>
      </c>
      <c r="W9" s="73">
        <v>1</v>
      </c>
    </row>
    <row r="10" spans="1:23">
      <c r="A10" s="98">
        <v>4</v>
      </c>
      <c r="B10" s="8" t="str">
        <f t="shared" si="0"/>
        <v>401</v>
      </c>
      <c r="C10" s="9">
        <v>46</v>
      </c>
      <c r="D10" s="9">
        <v>47</v>
      </c>
      <c r="E10" s="9">
        <v>48</v>
      </c>
      <c r="F10" s="9">
        <v>49</v>
      </c>
      <c r="G10" s="9">
        <v>50</v>
      </c>
      <c r="H10" s="31">
        <v>56</v>
      </c>
      <c r="I10" s="31">
        <v>57</v>
      </c>
      <c r="J10" s="31">
        <v>58</v>
      </c>
      <c r="K10" s="31">
        <v>59</v>
      </c>
      <c r="L10" s="31">
        <v>60</v>
      </c>
      <c r="M10" s="91"/>
      <c r="T10" s="93"/>
      <c r="U10" s="14" t="s">
        <v>11</v>
      </c>
      <c r="V10" s="13" cm="1">
        <f t="array" ref="V10">CountByColor(C16:L27, U10)</f>
        <v>2</v>
      </c>
      <c r="W10" s="74">
        <v>2.2200000000000001E-2</v>
      </c>
    </row>
    <row r="11" spans="1:23">
      <c r="A11" s="99"/>
      <c r="B11" s="8" t="str">
        <f t="shared" si="0"/>
        <v>402</v>
      </c>
      <c r="C11" s="9">
        <v>51</v>
      </c>
      <c r="D11" s="9">
        <v>52</v>
      </c>
      <c r="E11" s="9">
        <v>53</v>
      </c>
      <c r="F11" s="9">
        <v>54</v>
      </c>
      <c r="G11" s="9">
        <v>55</v>
      </c>
      <c r="H11" s="95"/>
      <c r="I11" s="96"/>
      <c r="J11" s="96"/>
      <c r="K11" s="96"/>
      <c r="L11" s="97"/>
      <c r="M11" s="91"/>
      <c r="T11" s="93"/>
      <c r="U11" s="15" t="s">
        <v>12</v>
      </c>
      <c r="V11" s="13" cm="1">
        <f t="array" ref="V11">CountByColor(C16:L27, U11)</f>
        <v>1</v>
      </c>
      <c r="W11" s="74">
        <v>1.11E-2</v>
      </c>
    </row>
    <row r="12" spans="1:23">
      <c r="A12" s="98">
        <v>5</v>
      </c>
      <c r="B12" s="8" t="str">
        <f t="shared" si="0"/>
        <v>501</v>
      </c>
      <c r="C12" s="9">
        <v>61</v>
      </c>
      <c r="D12" s="9">
        <v>62</v>
      </c>
      <c r="E12" s="9">
        <v>63</v>
      </c>
      <c r="F12" s="9">
        <v>64</v>
      </c>
      <c r="G12" s="9">
        <v>65</v>
      </c>
      <c r="H12" s="9">
        <v>71</v>
      </c>
      <c r="I12" s="9">
        <v>72</v>
      </c>
      <c r="J12" s="9">
        <v>73</v>
      </c>
      <c r="K12" s="9">
        <v>74</v>
      </c>
      <c r="L12" s="9">
        <v>75</v>
      </c>
      <c r="M12" s="91"/>
      <c r="T12" s="94"/>
      <c r="U12" s="16" t="s">
        <v>13</v>
      </c>
      <c r="V12" s="13" cm="1">
        <f t="array" ref="V12">CountByColor(C16:L27, U12)</f>
        <v>87</v>
      </c>
      <c r="W12" s="74">
        <v>0.9667</v>
      </c>
    </row>
    <row r="13" spans="1:23">
      <c r="A13" s="99"/>
      <c r="B13" s="8" t="str">
        <f t="shared" si="0"/>
        <v>502</v>
      </c>
      <c r="C13" s="9">
        <v>66</v>
      </c>
      <c r="D13" s="9">
        <v>67</v>
      </c>
      <c r="E13" s="9">
        <v>68</v>
      </c>
      <c r="F13" s="9">
        <v>69</v>
      </c>
      <c r="G13" s="9">
        <v>70</v>
      </c>
      <c r="H13" s="95"/>
      <c r="I13" s="96"/>
      <c r="J13" s="96"/>
      <c r="K13" s="96"/>
      <c r="L13" s="97"/>
      <c r="M13" s="91"/>
      <c r="T13" s="1"/>
    </row>
    <row r="14" spans="1:23">
      <c r="A14" s="98">
        <v>6</v>
      </c>
      <c r="B14" s="8" t="str">
        <f t="shared" si="0"/>
        <v>601</v>
      </c>
      <c r="C14" s="9">
        <v>76</v>
      </c>
      <c r="D14" s="9">
        <v>77</v>
      </c>
      <c r="E14" s="9">
        <v>78</v>
      </c>
      <c r="F14" s="9">
        <v>79</v>
      </c>
      <c r="G14" s="9">
        <v>80</v>
      </c>
      <c r="H14" s="31">
        <v>86</v>
      </c>
      <c r="I14" s="31">
        <v>87</v>
      </c>
      <c r="J14" s="31">
        <v>88</v>
      </c>
      <c r="K14" s="31">
        <v>89</v>
      </c>
      <c r="L14" s="31">
        <v>90</v>
      </c>
      <c r="M14" s="91"/>
      <c r="T14" s="92" t="s">
        <v>15</v>
      </c>
      <c r="U14" s="12" t="s">
        <v>10</v>
      </c>
      <c r="V14" s="13">
        <f>SUM(V15:V17)</f>
        <v>90</v>
      </c>
      <c r="W14" s="73">
        <v>1</v>
      </c>
    </row>
    <row r="15" spans="1:23">
      <c r="A15" s="99"/>
      <c r="B15" s="8" t="str">
        <f t="shared" si="0"/>
        <v>602</v>
      </c>
      <c r="C15" s="9">
        <v>81</v>
      </c>
      <c r="D15" s="9">
        <v>82</v>
      </c>
      <c r="E15" s="9">
        <v>83</v>
      </c>
      <c r="F15" s="9">
        <v>84</v>
      </c>
      <c r="G15" s="9">
        <v>85</v>
      </c>
      <c r="H15" s="95"/>
      <c r="I15" s="96"/>
      <c r="J15" s="96"/>
      <c r="K15" s="96"/>
      <c r="L15" s="97"/>
      <c r="M15" s="91"/>
      <c r="T15" s="93"/>
      <c r="U15" s="14" t="s">
        <v>11</v>
      </c>
      <c r="V15" s="13" cm="1">
        <f t="array" ref="V15">CountByColor(C28:L39, U15)</f>
        <v>2</v>
      </c>
      <c r="W15" s="74">
        <v>2.2200000000000001E-2</v>
      </c>
    </row>
    <row r="16" spans="1:23">
      <c r="A16" s="98">
        <v>7</v>
      </c>
      <c r="B16" s="8" t="str">
        <f t="shared" si="0"/>
        <v>701</v>
      </c>
      <c r="C16" s="9">
        <v>1</v>
      </c>
      <c r="D16" s="9">
        <v>2</v>
      </c>
      <c r="E16" s="9">
        <v>3</v>
      </c>
      <c r="F16" s="9">
        <v>4</v>
      </c>
      <c r="G16" s="9">
        <v>5</v>
      </c>
      <c r="H16" s="9">
        <v>11</v>
      </c>
      <c r="I16" s="9">
        <v>12</v>
      </c>
      <c r="J16" s="9">
        <v>13</v>
      </c>
      <c r="K16" s="9">
        <v>14</v>
      </c>
      <c r="L16" s="9">
        <v>15</v>
      </c>
      <c r="M16" s="91" t="s">
        <v>14</v>
      </c>
      <c r="T16" s="93"/>
      <c r="U16" s="15" t="s">
        <v>12</v>
      </c>
      <c r="V16" s="13" cm="1">
        <f t="array" ref="V16">CountByColor(C28:L39, U16)</f>
        <v>1</v>
      </c>
      <c r="W16" s="74">
        <v>1.11E-2</v>
      </c>
    </row>
    <row r="17" spans="1:23">
      <c r="A17" s="99"/>
      <c r="B17" s="8" t="str">
        <f t="shared" si="0"/>
        <v>702</v>
      </c>
      <c r="C17" s="9">
        <v>6</v>
      </c>
      <c r="D17" s="9">
        <v>7</v>
      </c>
      <c r="E17" s="9">
        <v>8</v>
      </c>
      <c r="F17" s="9">
        <v>9</v>
      </c>
      <c r="G17" s="9">
        <v>10</v>
      </c>
      <c r="H17" s="95"/>
      <c r="I17" s="96"/>
      <c r="J17" s="96"/>
      <c r="K17" s="96"/>
      <c r="L17" s="97"/>
      <c r="M17" s="91"/>
      <c r="T17" s="94"/>
      <c r="U17" s="16" t="s">
        <v>13</v>
      </c>
      <c r="V17" s="13" cm="1">
        <f t="array" ref="V17">CountByColor(C28:L39, U17)</f>
        <v>87</v>
      </c>
      <c r="W17" s="74">
        <v>0.9667</v>
      </c>
    </row>
    <row r="18" spans="1:23">
      <c r="A18" s="98">
        <v>8</v>
      </c>
      <c r="B18" s="8" t="str">
        <f t="shared" si="0"/>
        <v>801</v>
      </c>
      <c r="C18" s="9">
        <v>16</v>
      </c>
      <c r="D18" s="9">
        <v>17</v>
      </c>
      <c r="E18" s="9">
        <v>18</v>
      </c>
      <c r="F18" s="11">
        <v>19</v>
      </c>
      <c r="G18" s="9">
        <v>20</v>
      </c>
      <c r="H18" s="31">
        <v>26</v>
      </c>
      <c r="I18" s="31">
        <v>27</v>
      </c>
      <c r="J18" s="31">
        <v>28</v>
      </c>
      <c r="K18" s="31">
        <v>29</v>
      </c>
      <c r="L18" s="31">
        <v>30</v>
      </c>
      <c r="M18" s="91"/>
      <c r="T18" s="1"/>
    </row>
    <row r="19" spans="1:23">
      <c r="A19" s="99"/>
      <c r="B19" s="8" t="str">
        <f t="shared" si="0"/>
        <v>802</v>
      </c>
      <c r="C19" s="9">
        <v>21</v>
      </c>
      <c r="D19" s="9">
        <v>22</v>
      </c>
      <c r="E19" s="9">
        <v>23</v>
      </c>
      <c r="F19" s="11">
        <v>24</v>
      </c>
      <c r="G19" s="9">
        <v>25</v>
      </c>
      <c r="H19" s="95"/>
      <c r="I19" s="96"/>
      <c r="J19" s="96"/>
      <c r="K19" s="96"/>
      <c r="L19" s="97"/>
      <c r="M19" s="91"/>
      <c r="T19" s="92" t="s">
        <v>16</v>
      </c>
      <c r="U19" s="12" t="s">
        <v>10</v>
      </c>
      <c r="V19" s="13">
        <f>SUM(V20:V22)</f>
        <v>105</v>
      </c>
      <c r="W19" s="73">
        <v>1</v>
      </c>
    </row>
    <row r="20" spans="1:23">
      <c r="A20" s="98">
        <v>9</v>
      </c>
      <c r="B20" s="8" t="str">
        <f t="shared" si="0"/>
        <v>901</v>
      </c>
      <c r="C20" s="9">
        <v>31</v>
      </c>
      <c r="D20" s="9">
        <v>32</v>
      </c>
      <c r="E20" s="9">
        <v>33</v>
      </c>
      <c r="F20" s="9">
        <v>34</v>
      </c>
      <c r="G20" s="9">
        <v>35</v>
      </c>
      <c r="H20" s="9">
        <v>41</v>
      </c>
      <c r="I20" s="9">
        <v>42</v>
      </c>
      <c r="J20" s="9">
        <v>43</v>
      </c>
      <c r="K20" s="9">
        <v>44</v>
      </c>
      <c r="L20" s="9">
        <v>45</v>
      </c>
      <c r="M20" s="91"/>
      <c r="T20" s="93"/>
      <c r="U20" s="14" t="s">
        <v>11</v>
      </c>
      <c r="V20" s="13" cm="1">
        <f t="array" ref="V20">CountByColor(C40:L53, U20)</f>
        <v>43</v>
      </c>
      <c r="W20" s="74">
        <v>0.40949999999999998</v>
      </c>
    </row>
    <row r="21" spans="1:23">
      <c r="A21" s="99"/>
      <c r="B21" s="8" t="str">
        <f t="shared" si="0"/>
        <v>902</v>
      </c>
      <c r="C21" s="9">
        <v>36</v>
      </c>
      <c r="D21" s="9">
        <v>37</v>
      </c>
      <c r="E21" s="9">
        <v>38</v>
      </c>
      <c r="F21" s="9">
        <v>39</v>
      </c>
      <c r="G21" s="9">
        <v>40</v>
      </c>
      <c r="H21" s="95"/>
      <c r="I21" s="96"/>
      <c r="J21" s="96"/>
      <c r="K21" s="96"/>
      <c r="L21" s="97"/>
      <c r="M21" s="91"/>
      <c r="S21" s="1"/>
      <c r="T21" s="93"/>
      <c r="U21" s="15" t="s">
        <v>12</v>
      </c>
      <c r="V21" s="13" cm="1">
        <f t="array" ref="V21">CountByColor(C40:L53, U21)</f>
        <v>1</v>
      </c>
      <c r="W21" s="74">
        <v>9.4999999999999998E-3</v>
      </c>
    </row>
    <row r="22" spans="1:23">
      <c r="A22" s="98">
        <v>10</v>
      </c>
      <c r="B22" s="8" t="str">
        <f t="shared" si="0"/>
        <v>1001</v>
      </c>
      <c r="C22" s="9">
        <v>46</v>
      </c>
      <c r="D22" s="9">
        <v>47</v>
      </c>
      <c r="E22" s="10">
        <v>48</v>
      </c>
      <c r="F22" s="9">
        <v>49</v>
      </c>
      <c r="G22" s="9">
        <v>50</v>
      </c>
      <c r="H22" s="31">
        <v>56</v>
      </c>
      <c r="I22" s="31">
        <v>57</v>
      </c>
      <c r="J22" s="31">
        <v>58</v>
      </c>
      <c r="K22" s="31">
        <v>59</v>
      </c>
      <c r="L22" s="31">
        <v>60</v>
      </c>
      <c r="M22" s="91"/>
      <c r="T22" s="94"/>
      <c r="U22" s="16" t="s">
        <v>13</v>
      </c>
      <c r="V22" s="13" cm="1">
        <f t="array" ref="V22">CountByColor(C40:L53, U22)</f>
        <v>61</v>
      </c>
      <c r="W22" s="74">
        <v>0.58099999999999996</v>
      </c>
    </row>
    <row r="23" spans="1:23">
      <c r="A23" s="99"/>
      <c r="B23" s="8" t="str">
        <f t="shared" si="0"/>
        <v>1002</v>
      </c>
      <c r="C23" s="9">
        <v>51</v>
      </c>
      <c r="D23" s="9">
        <v>52</v>
      </c>
      <c r="E23" s="9">
        <v>53</v>
      </c>
      <c r="F23" s="9">
        <v>54</v>
      </c>
      <c r="G23" s="9">
        <v>55</v>
      </c>
      <c r="H23" s="95"/>
      <c r="I23" s="96"/>
      <c r="J23" s="96"/>
      <c r="K23" s="96"/>
      <c r="L23" s="97"/>
      <c r="M23" s="91"/>
      <c r="T23" s="1"/>
    </row>
    <row r="24" spans="1:23">
      <c r="A24" s="98">
        <v>11</v>
      </c>
      <c r="B24" s="8" t="str">
        <f t="shared" si="0"/>
        <v>1101</v>
      </c>
      <c r="C24" s="9">
        <v>61</v>
      </c>
      <c r="D24" s="9">
        <v>62</v>
      </c>
      <c r="E24" s="9">
        <v>63</v>
      </c>
      <c r="F24" s="9">
        <v>64</v>
      </c>
      <c r="G24" s="9">
        <v>65</v>
      </c>
      <c r="H24" s="9">
        <v>71</v>
      </c>
      <c r="I24" s="9">
        <v>72</v>
      </c>
      <c r="J24" s="9">
        <v>73</v>
      </c>
      <c r="K24" s="9">
        <v>74</v>
      </c>
      <c r="L24" s="9">
        <v>75</v>
      </c>
      <c r="M24" s="91"/>
      <c r="T24" s="92" t="s">
        <v>19</v>
      </c>
      <c r="U24" s="12" t="s">
        <v>10</v>
      </c>
      <c r="V24" s="13">
        <f>SUM(V25:V27)</f>
        <v>90</v>
      </c>
      <c r="W24" s="73">
        <v>1</v>
      </c>
    </row>
    <row r="25" spans="1:23">
      <c r="A25" s="99"/>
      <c r="B25" s="8" t="str">
        <f t="shared" si="0"/>
        <v>1102</v>
      </c>
      <c r="C25" s="9">
        <v>66</v>
      </c>
      <c r="D25" s="9">
        <v>67</v>
      </c>
      <c r="E25" s="9">
        <v>68</v>
      </c>
      <c r="F25" s="9">
        <v>69</v>
      </c>
      <c r="G25" s="9">
        <v>70</v>
      </c>
      <c r="H25" s="95"/>
      <c r="I25" s="96"/>
      <c r="J25" s="96"/>
      <c r="K25" s="96"/>
      <c r="L25" s="97"/>
      <c r="M25" s="91"/>
      <c r="T25" s="93"/>
      <c r="U25" s="14" t="s">
        <v>11</v>
      </c>
      <c r="V25" s="13" cm="1">
        <f t="array" ref="V25">CountByColor(C54:L65, U25)</f>
        <v>0</v>
      </c>
      <c r="W25" s="73">
        <v>0</v>
      </c>
    </row>
    <row r="26" spans="1:23">
      <c r="A26" s="98">
        <v>12</v>
      </c>
      <c r="B26" s="8" t="str">
        <f t="shared" si="0"/>
        <v>1201</v>
      </c>
      <c r="C26" s="9">
        <v>76</v>
      </c>
      <c r="D26" s="9">
        <v>77</v>
      </c>
      <c r="E26" s="9">
        <v>78</v>
      </c>
      <c r="F26" s="9">
        <v>79</v>
      </c>
      <c r="G26" s="9">
        <v>80</v>
      </c>
      <c r="H26" s="31">
        <v>86</v>
      </c>
      <c r="I26" s="31">
        <v>87</v>
      </c>
      <c r="J26" s="31">
        <v>88</v>
      </c>
      <c r="K26" s="31">
        <v>89</v>
      </c>
      <c r="L26" s="31">
        <v>90</v>
      </c>
      <c r="M26" s="91"/>
      <c r="T26" s="93"/>
      <c r="U26" s="15" t="s">
        <v>12</v>
      </c>
      <c r="V26" s="13" cm="1">
        <f t="array" ref="V26">CountByColor(C54:L65, U26)</f>
        <v>0</v>
      </c>
      <c r="W26" s="73">
        <v>0</v>
      </c>
    </row>
    <row r="27" spans="1:23">
      <c r="A27" s="99"/>
      <c r="B27" s="8" t="str">
        <f t="shared" si="0"/>
        <v>1202</v>
      </c>
      <c r="C27" s="9">
        <v>81</v>
      </c>
      <c r="D27" s="9">
        <v>82</v>
      </c>
      <c r="E27" s="9">
        <v>83</v>
      </c>
      <c r="F27" s="9">
        <v>84</v>
      </c>
      <c r="G27" s="9">
        <v>85</v>
      </c>
      <c r="H27" s="95"/>
      <c r="I27" s="96"/>
      <c r="J27" s="96"/>
      <c r="K27" s="96"/>
      <c r="L27" s="97"/>
      <c r="M27" s="91"/>
      <c r="T27" s="94"/>
      <c r="U27" s="16" t="s">
        <v>13</v>
      </c>
      <c r="V27" s="13" cm="1">
        <f t="array" ref="V27">CountByColor(C54:L65, U27)</f>
        <v>90</v>
      </c>
      <c r="W27" s="73">
        <v>1</v>
      </c>
    </row>
    <row r="28" spans="1:23">
      <c r="A28" s="98">
        <v>13</v>
      </c>
      <c r="B28" s="8" t="str">
        <f t="shared" si="0"/>
        <v>1301</v>
      </c>
      <c r="C28" s="9">
        <v>1</v>
      </c>
      <c r="D28" s="9">
        <v>2</v>
      </c>
      <c r="E28" s="9">
        <v>3</v>
      </c>
      <c r="F28" s="9">
        <v>4</v>
      </c>
      <c r="G28" s="9">
        <v>5</v>
      </c>
      <c r="H28" s="9">
        <v>11</v>
      </c>
      <c r="I28" s="9">
        <v>12</v>
      </c>
      <c r="J28" s="9">
        <v>13</v>
      </c>
      <c r="K28" s="9">
        <v>14</v>
      </c>
      <c r="L28" s="9">
        <v>15</v>
      </c>
      <c r="M28" s="91" t="s">
        <v>15</v>
      </c>
      <c r="T28" s="1"/>
    </row>
    <row r="29" spans="1:23">
      <c r="A29" s="99"/>
      <c r="B29" s="8" t="str">
        <f t="shared" si="0"/>
        <v>1302</v>
      </c>
      <c r="C29" s="9">
        <v>6</v>
      </c>
      <c r="D29" s="9">
        <v>7</v>
      </c>
      <c r="E29" s="9">
        <v>8</v>
      </c>
      <c r="F29" s="11">
        <v>9</v>
      </c>
      <c r="G29" s="9">
        <v>10</v>
      </c>
      <c r="H29" s="95"/>
      <c r="I29" s="96"/>
      <c r="J29" s="96"/>
      <c r="K29" s="96"/>
      <c r="L29" s="97"/>
      <c r="M29" s="91"/>
      <c r="T29" s="92" t="s">
        <v>20</v>
      </c>
      <c r="U29" s="12" t="s">
        <v>10</v>
      </c>
      <c r="V29" s="13">
        <f>SUM(V30:V32)</f>
        <v>90</v>
      </c>
      <c r="W29" s="73">
        <v>1</v>
      </c>
    </row>
    <row r="30" spans="1:23">
      <c r="A30" s="98">
        <v>14</v>
      </c>
      <c r="B30" s="8" t="str">
        <f t="shared" si="0"/>
        <v>1401</v>
      </c>
      <c r="C30" s="9">
        <v>16</v>
      </c>
      <c r="D30" s="9">
        <v>17</v>
      </c>
      <c r="E30" s="9">
        <v>18</v>
      </c>
      <c r="F30" s="9">
        <v>19</v>
      </c>
      <c r="G30" s="9">
        <v>20</v>
      </c>
      <c r="H30" s="31">
        <v>26</v>
      </c>
      <c r="I30" s="31">
        <v>27</v>
      </c>
      <c r="J30" s="31">
        <v>28</v>
      </c>
      <c r="K30" s="31">
        <v>29</v>
      </c>
      <c r="L30" s="31">
        <v>30</v>
      </c>
      <c r="M30" s="91"/>
      <c r="T30" s="93"/>
      <c r="U30" s="14" t="s">
        <v>11</v>
      </c>
      <c r="V30" s="13" cm="1">
        <f t="array" ref="V30">CountByColor(C66:L77, U30)</f>
        <v>3</v>
      </c>
      <c r="W30" s="74">
        <v>3.3300000000000003E-2</v>
      </c>
    </row>
    <row r="31" spans="1:23">
      <c r="A31" s="99"/>
      <c r="B31" s="8" t="str">
        <f t="shared" si="0"/>
        <v>1402</v>
      </c>
      <c r="C31" s="9">
        <v>21</v>
      </c>
      <c r="D31" s="9">
        <v>22</v>
      </c>
      <c r="E31" s="9">
        <v>23</v>
      </c>
      <c r="F31" s="9">
        <v>24</v>
      </c>
      <c r="G31" s="9">
        <v>25</v>
      </c>
      <c r="H31" s="95"/>
      <c r="I31" s="96"/>
      <c r="J31" s="96"/>
      <c r="K31" s="96"/>
      <c r="L31" s="97"/>
      <c r="M31" s="91"/>
      <c r="P31" s="6"/>
      <c r="T31" s="93"/>
      <c r="U31" s="15" t="s">
        <v>12</v>
      </c>
      <c r="V31" s="13" cm="1">
        <f t="array" ref="V31">CountByColor(C66:L77, U31)</f>
        <v>0</v>
      </c>
      <c r="W31" s="73">
        <v>0</v>
      </c>
    </row>
    <row r="32" spans="1:23">
      <c r="A32" s="98">
        <v>15</v>
      </c>
      <c r="B32" s="8" t="str">
        <f t="shared" si="0"/>
        <v>1501</v>
      </c>
      <c r="C32" s="9">
        <v>31</v>
      </c>
      <c r="D32" s="9">
        <v>32</v>
      </c>
      <c r="E32" s="9">
        <v>33</v>
      </c>
      <c r="F32" s="9">
        <v>34</v>
      </c>
      <c r="G32" s="9">
        <v>35</v>
      </c>
      <c r="H32" s="9">
        <v>41</v>
      </c>
      <c r="I32" s="9">
        <v>42</v>
      </c>
      <c r="J32" s="9">
        <v>43</v>
      </c>
      <c r="K32" s="9">
        <v>44</v>
      </c>
      <c r="L32" s="9">
        <v>45</v>
      </c>
      <c r="M32" s="91"/>
      <c r="P32" s="6"/>
      <c r="T32" s="94"/>
      <c r="U32" s="16" t="s">
        <v>13</v>
      </c>
      <c r="V32" s="13" cm="1">
        <f t="array" ref="V32">CountByColor(C66:L77, U32)</f>
        <v>87</v>
      </c>
      <c r="W32" s="74">
        <v>0.9667</v>
      </c>
    </row>
    <row r="33" spans="1:23">
      <c r="A33" s="99"/>
      <c r="B33" s="8" t="str">
        <f t="shared" si="0"/>
        <v>1502</v>
      </c>
      <c r="C33" s="9">
        <v>36</v>
      </c>
      <c r="D33" s="9">
        <v>37</v>
      </c>
      <c r="E33" s="9">
        <v>38</v>
      </c>
      <c r="F33" s="9">
        <v>39</v>
      </c>
      <c r="G33" s="9">
        <v>40</v>
      </c>
      <c r="H33" s="95"/>
      <c r="I33" s="96"/>
      <c r="J33" s="96"/>
      <c r="K33" s="96"/>
      <c r="L33" s="97"/>
      <c r="M33" s="91"/>
      <c r="P33" s="6"/>
      <c r="T33" s="1"/>
    </row>
    <row r="34" spans="1:23">
      <c r="A34" s="98">
        <v>16</v>
      </c>
      <c r="B34" s="8" t="str">
        <f t="shared" si="0"/>
        <v>1601</v>
      </c>
      <c r="C34" s="9">
        <v>46</v>
      </c>
      <c r="D34" s="9">
        <v>47</v>
      </c>
      <c r="E34" s="9">
        <v>48</v>
      </c>
      <c r="F34" s="9">
        <v>49</v>
      </c>
      <c r="G34" s="9">
        <v>50</v>
      </c>
      <c r="H34" s="31">
        <v>56</v>
      </c>
      <c r="I34" s="31">
        <v>57</v>
      </c>
      <c r="J34" s="31">
        <v>58</v>
      </c>
      <c r="K34" s="31">
        <v>59</v>
      </c>
      <c r="L34" s="31">
        <v>60</v>
      </c>
      <c r="M34" s="91"/>
      <c r="P34" s="6"/>
      <c r="T34" s="92" t="s">
        <v>21</v>
      </c>
      <c r="U34" s="12" t="s">
        <v>10</v>
      </c>
      <c r="V34" s="13">
        <f>SUM(V35:V37)</f>
        <v>90</v>
      </c>
      <c r="W34" s="73">
        <v>1</v>
      </c>
    </row>
    <row r="35" spans="1:23">
      <c r="A35" s="99"/>
      <c r="B35" s="8" t="str">
        <f t="shared" si="0"/>
        <v>1602</v>
      </c>
      <c r="C35" s="9">
        <v>51</v>
      </c>
      <c r="D35" s="9">
        <v>52</v>
      </c>
      <c r="E35" s="9">
        <v>53</v>
      </c>
      <c r="F35" s="9">
        <v>54</v>
      </c>
      <c r="G35" s="9">
        <v>55</v>
      </c>
      <c r="H35" s="95"/>
      <c r="I35" s="96"/>
      <c r="J35" s="96"/>
      <c r="K35" s="96"/>
      <c r="L35" s="97"/>
      <c r="M35" s="91"/>
      <c r="P35" s="6"/>
      <c r="T35" s="93"/>
      <c r="U35" s="14" t="s">
        <v>11</v>
      </c>
      <c r="V35" s="13" cm="1">
        <f t="array" ref="V35">CountByColor(C78:L89, U35)</f>
        <v>2</v>
      </c>
      <c r="W35" s="74">
        <v>2.2200000000000001E-2</v>
      </c>
    </row>
    <row r="36" spans="1:23">
      <c r="A36" s="98">
        <v>17</v>
      </c>
      <c r="B36" s="8" t="str">
        <f t="shared" si="0"/>
        <v>1701</v>
      </c>
      <c r="C36" s="9">
        <v>61</v>
      </c>
      <c r="D36" s="9">
        <v>62</v>
      </c>
      <c r="E36" s="9">
        <v>63</v>
      </c>
      <c r="F36" s="9">
        <v>64</v>
      </c>
      <c r="G36" s="9">
        <v>65</v>
      </c>
      <c r="H36" s="9">
        <v>71</v>
      </c>
      <c r="I36" s="9">
        <v>72</v>
      </c>
      <c r="J36" s="9">
        <v>73</v>
      </c>
      <c r="K36" s="9">
        <v>74</v>
      </c>
      <c r="L36" s="9">
        <v>75</v>
      </c>
      <c r="M36" s="91"/>
      <c r="O36" s="1"/>
      <c r="P36" s="6"/>
      <c r="T36" s="93"/>
      <c r="U36" s="15" t="s">
        <v>12</v>
      </c>
      <c r="V36" s="13" cm="1">
        <f t="array" ref="V36">CountByColor(C78:L89, U36)</f>
        <v>2</v>
      </c>
      <c r="W36" s="74">
        <v>2.2200000000000001E-2</v>
      </c>
    </row>
    <row r="37" spans="1:23">
      <c r="A37" s="99"/>
      <c r="B37" s="8" t="str">
        <f t="shared" si="0"/>
        <v>1702</v>
      </c>
      <c r="C37" s="9">
        <v>66</v>
      </c>
      <c r="D37" s="9">
        <v>67</v>
      </c>
      <c r="E37" s="9">
        <v>68</v>
      </c>
      <c r="F37" s="9">
        <v>69</v>
      </c>
      <c r="G37" s="9">
        <v>70</v>
      </c>
      <c r="H37" s="95"/>
      <c r="I37" s="96"/>
      <c r="J37" s="96"/>
      <c r="K37" s="96"/>
      <c r="L37" s="97"/>
      <c r="M37" s="91"/>
      <c r="O37" s="1"/>
      <c r="P37" s="6"/>
      <c r="T37" s="94"/>
      <c r="U37" s="16" t="s">
        <v>13</v>
      </c>
      <c r="V37" s="13" cm="1">
        <f t="array" ref="V37">CountByColor(C78:L89, U37)</f>
        <v>86</v>
      </c>
      <c r="W37" s="13">
        <v>95.564999999999998</v>
      </c>
    </row>
    <row r="38" spans="1:23">
      <c r="A38" s="98">
        <v>18</v>
      </c>
      <c r="B38" s="8" t="str">
        <f t="shared" si="0"/>
        <v>1801</v>
      </c>
      <c r="C38" s="9">
        <v>76</v>
      </c>
      <c r="D38" s="9">
        <v>77</v>
      </c>
      <c r="E38" s="9">
        <v>78</v>
      </c>
      <c r="F38" s="9">
        <v>79</v>
      </c>
      <c r="G38" s="9">
        <v>80</v>
      </c>
      <c r="H38" s="31">
        <v>86</v>
      </c>
      <c r="I38" s="31">
        <v>87</v>
      </c>
      <c r="J38" s="31">
        <v>88</v>
      </c>
      <c r="K38" s="31">
        <v>89</v>
      </c>
      <c r="L38" s="31">
        <v>90</v>
      </c>
      <c r="M38" s="91"/>
      <c r="O38" s="1"/>
      <c r="T38" s="1"/>
    </row>
    <row r="39" spans="1:23">
      <c r="A39" s="99"/>
      <c r="B39" s="8" t="str">
        <f t="shared" si="0"/>
        <v>1802</v>
      </c>
      <c r="C39" s="9">
        <v>81</v>
      </c>
      <c r="D39" s="11">
        <v>82</v>
      </c>
      <c r="E39" s="10">
        <v>83</v>
      </c>
      <c r="F39" s="9">
        <v>84</v>
      </c>
      <c r="G39" s="9">
        <v>85</v>
      </c>
      <c r="H39" s="95"/>
      <c r="I39" s="96"/>
      <c r="J39" s="96"/>
      <c r="K39" s="96"/>
      <c r="L39" s="97"/>
      <c r="M39" s="91"/>
      <c r="O39" s="17"/>
      <c r="T39" s="92" t="s">
        <v>22</v>
      </c>
      <c r="U39" s="12" t="s">
        <v>10</v>
      </c>
      <c r="V39" s="13">
        <f>SUM(V40:V42)</f>
        <v>105</v>
      </c>
      <c r="W39" s="73">
        <v>1</v>
      </c>
    </row>
    <row r="40" spans="1:23">
      <c r="A40" s="98">
        <v>19</v>
      </c>
      <c r="B40" s="8" t="str">
        <f t="shared" si="0"/>
        <v>1901</v>
      </c>
      <c r="C40" s="11">
        <v>1</v>
      </c>
      <c r="D40" s="9">
        <v>2</v>
      </c>
      <c r="E40" s="9">
        <v>3</v>
      </c>
      <c r="F40" s="11">
        <v>4</v>
      </c>
      <c r="G40" s="9">
        <v>5</v>
      </c>
      <c r="H40" s="11">
        <v>11</v>
      </c>
      <c r="I40" s="11">
        <v>12</v>
      </c>
      <c r="J40" s="9">
        <v>13</v>
      </c>
      <c r="K40" s="9">
        <v>14</v>
      </c>
      <c r="L40" s="9">
        <v>15</v>
      </c>
      <c r="M40" s="100" t="s">
        <v>16</v>
      </c>
      <c r="N40" s="1"/>
      <c r="O40" s="6"/>
      <c r="S40" s="1"/>
      <c r="T40" s="93"/>
      <c r="U40" s="14" t="s">
        <v>11</v>
      </c>
      <c r="V40" s="13" cm="1">
        <f t="array" ref="V40">CountByColor(C90:L103, U40)</f>
        <v>1</v>
      </c>
      <c r="W40" s="74">
        <v>9.4999999999999998E-3</v>
      </c>
    </row>
    <row r="41" spans="1:23">
      <c r="A41" s="99"/>
      <c r="B41" s="8" t="str">
        <f t="shared" si="0"/>
        <v>1902</v>
      </c>
      <c r="C41" s="11">
        <v>6</v>
      </c>
      <c r="D41" s="9">
        <v>7</v>
      </c>
      <c r="E41" s="11">
        <v>8</v>
      </c>
      <c r="F41" s="11">
        <v>9</v>
      </c>
      <c r="G41" s="10">
        <v>10</v>
      </c>
      <c r="H41" s="95"/>
      <c r="I41" s="96"/>
      <c r="J41" s="96"/>
      <c r="K41" s="96"/>
      <c r="L41" s="97"/>
      <c r="M41" s="101"/>
      <c r="N41" s="1"/>
      <c r="O41" s="6"/>
      <c r="S41" s="1"/>
      <c r="T41" s="93"/>
      <c r="U41" s="15" t="s">
        <v>12</v>
      </c>
      <c r="V41" s="13" cm="1">
        <f t="array" ref="V41">CountByColor(C90:L103, U41)</f>
        <v>1</v>
      </c>
      <c r="W41" s="74">
        <v>9.4999999999999998E-3</v>
      </c>
    </row>
    <row r="42" spans="1:23">
      <c r="A42" s="98">
        <v>20</v>
      </c>
      <c r="B42" s="8" t="str">
        <f t="shared" si="0"/>
        <v>2001</v>
      </c>
      <c r="C42" s="11">
        <v>16</v>
      </c>
      <c r="D42" s="9">
        <v>17</v>
      </c>
      <c r="E42" s="11">
        <v>18</v>
      </c>
      <c r="F42" s="9">
        <v>19</v>
      </c>
      <c r="G42" s="9">
        <v>20</v>
      </c>
      <c r="H42" s="31">
        <v>26</v>
      </c>
      <c r="I42" s="61">
        <v>27</v>
      </c>
      <c r="J42" s="31">
        <v>28</v>
      </c>
      <c r="K42" s="31">
        <v>29</v>
      </c>
      <c r="L42" s="31">
        <v>30</v>
      </c>
      <c r="M42" s="101"/>
      <c r="N42" s="1"/>
      <c r="O42" s="6"/>
      <c r="S42" s="1"/>
      <c r="T42" s="94"/>
      <c r="U42" s="16" t="s">
        <v>13</v>
      </c>
      <c r="V42" s="13" cm="1">
        <f t="array" ref="V42">CountByColor(C90:L103, U42)</f>
        <v>103</v>
      </c>
      <c r="W42" s="74">
        <v>0.98099999999999998</v>
      </c>
    </row>
    <row r="43" spans="1:23">
      <c r="A43" s="99"/>
      <c r="B43" s="8" t="str">
        <f t="shared" si="0"/>
        <v>2002</v>
      </c>
      <c r="C43" s="11">
        <v>21</v>
      </c>
      <c r="D43" s="11">
        <v>22</v>
      </c>
      <c r="E43" s="9">
        <v>23</v>
      </c>
      <c r="F43" s="9">
        <v>24</v>
      </c>
      <c r="G43" s="11">
        <v>25</v>
      </c>
      <c r="H43" s="95"/>
      <c r="I43" s="96"/>
      <c r="J43" s="96"/>
      <c r="K43" s="96"/>
      <c r="L43" s="97"/>
      <c r="M43" s="101"/>
      <c r="N43" s="1"/>
      <c r="O43" s="6"/>
      <c r="S43" s="1"/>
    </row>
    <row r="44" spans="1:23">
      <c r="A44" s="98">
        <v>21</v>
      </c>
      <c r="B44" s="8" t="str">
        <f t="shared" si="0"/>
        <v>2101</v>
      </c>
      <c r="C44" s="11">
        <v>31</v>
      </c>
      <c r="D44" s="11">
        <v>32</v>
      </c>
      <c r="E44" s="9">
        <v>33</v>
      </c>
      <c r="F44" s="11">
        <v>34</v>
      </c>
      <c r="G44" s="9">
        <v>35</v>
      </c>
      <c r="H44" s="11">
        <v>41</v>
      </c>
      <c r="I44" s="9">
        <v>42</v>
      </c>
      <c r="J44" s="9">
        <v>43</v>
      </c>
      <c r="K44" s="9">
        <v>44</v>
      </c>
      <c r="L44" s="9">
        <v>45</v>
      </c>
      <c r="M44" s="101"/>
      <c r="N44" s="1"/>
      <c r="O44" s="6"/>
      <c r="S44" s="1"/>
    </row>
    <row r="45" spans="1:23">
      <c r="A45" s="99"/>
      <c r="B45" s="8" t="str">
        <f t="shared" si="0"/>
        <v>2102</v>
      </c>
      <c r="C45" s="11">
        <v>36</v>
      </c>
      <c r="D45" s="9">
        <v>37</v>
      </c>
      <c r="E45" s="11">
        <v>38</v>
      </c>
      <c r="F45" s="9">
        <v>39</v>
      </c>
      <c r="G45" s="11">
        <v>40</v>
      </c>
      <c r="H45" s="95"/>
      <c r="I45" s="96"/>
      <c r="J45" s="96"/>
      <c r="K45" s="96"/>
      <c r="L45" s="97"/>
      <c r="M45" s="101"/>
      <c r="N45" s="1"/>
      <c r="O45" s="6"/>
      <c r="S45" s="1"/>
    </row>
    <row r="46" spans="1:23">
      <c r="A46" s="98">
        <v>22</v>
      </c>
      <c r="B46" s="8" t="str">
        <f t="shared" si="0"/>
        <v>2201</v>
      </c>
      <c r="C46" s="9">
        <v>46</v>
      </c>
      <c r="D46" s="9">
        <v>47</v>
      </c>
      <c r="E46" s="11">
        <v>48</v>
      </c>
      <c r="F46" s="11">
        <v>49</v>
      </c>
      <c r="G46" s="11">
        <v>50</v>
      </c>
      <c r="H46" s="61">
        <v>56</v>
      </c>
      <c r="I46" s="31">
        <v>57</v>
      </c>
      <c r="J46" s="31">
        <v>58</v>
      </c>
      <c r="K46" s="31">
        <v>59</v>
      </c>
      <c r="L46" s="31">
        <v>60</v>
      </c>
      <c r="M46" s="101"/>
      <c r="N46" s="1"/>
      <c r="O46" s="6"/>
      <c r="S46" s="1"/>
    </row>
    <row r="47" spans="1:23">
      <c r="A47" s="99"/>
      <c r="B47" s="8" t="str">
        <f t="shared" si="0"/>
        <v>2202</v>
      </c>
      <c r="C47" s="11">
        <v>51</v>
      </c>
      <c r="D47" s="11">
        <v>52</v>
      </c>
      <c r="E47" s="11">
        <v>53</v>
      </c>
      <c r="F47" s="9">
        <v>54</v>
      </c>
      <c r="G47" s="9">
        <v>55</v>
      </c>
      <c r="H47" s="95"/>
      <c r="I47" s="96"/>
      <c r="J47" s="96"/>
      <c r="K47" s="96"/>
      <c r="L47" s="97"/>
      <c r="M47" s="101"/>
      <c r="N47" s="1"/>
      <c r="O47" s="6"/>
      <c r="S47" s="1"/>
    </row>
    <row r="48" spans="1:23">
      <c r="A48" s="98">
        <v>23</v>
      </c>
      <c r="B48" s="8" t="str">
        <f t="shared" si="0"/>
        <v>2301</v>
      </c>
      <c r="C48" s="11">
        <v>61</v>
      </c>
      <c r="D48" s="9">
        <v>62</v>
      </c>
      <c r="E48" s="11">
        <v>63</v>
      </c>
      <c r="F48" s="9">
        <v>64</v>
      </c>
      <c r="G48" s="11">
        <v>65</v>
      </c>
      <c r="H48" s="11">
        <v>71</v>
      </c>
      <c r="I48" s="11">
        <v>72</v>
      </c>
      <c r="J48" s="9">
        <v>73</v>
      </c>
      <c r="K48" s="9">
        <v>74</v>
      </c>
      <c r="L48" s="9">
        <v>75</v>
      </c>
      <c r="M48" s="101"/>
      <c r="N48" s="1"/>
      <c r="O48" s="6"/>
      <c r="P48" s="6"/>
      <c r="S48" s="1"/>
    </row>
    <row r="49" spans="1:19">
      <c r="A49" s="99"/>
      <c r="B49" s="8" t="str">
        <f t="shared" si="0"/>
        <v>2302</v>
      </c>
      <c r="C49" s="9">
        <v>66</v>
      </c>
      <c r="D49" s="11">
        <v>67</v>
      </c>
      <c r="E49" s="9">
        <v>68</v>
      </c>
      <c r="F49" s="9">
        <v>69</v>
      </c>
      <c r="G49" s="9">
        <v>70</v>
      </c>
      <c r="H49" s="95"/>
      <c r="I49" s="96"/>
      <c r="J49" s="96"/>
      <c r="K49" s="96"/>
      <c r="L49" s="97"/>
      <c r="M49" s="101"/>
      <c r="N49" s="1"/>
      <c r="O49" s="6"/>
      <c r="P49" s="6"/>
      <c r="S49" s="1"/>
    </row>
    <row r="50" spans="1:19">
      <c r="A50" s="98">
        <v>24</v>
      </c>
      <c r="B50" s="8" t="str">
        <f t="shared" si="0"/>
        <v>2401</v>
      </c>
      <c r="C50" s="9">
        <v>76</v>
      </c>
      <c r="D50" s="11">
        <v>77</v>
      </c>
      <c r="E50" s="9">
        <v>78</v>
      </c>
      <c r="F50" s="9">
        <v>79</v>
      </c>
      <c r="G50" s="9">
        <v>80</v>
      </c>
      <c r="H50" s="31">
        <v>86</v>
      </c>
      <c r="I50" s="31">
        <v>87</v>
      </c>
      <c r="J50" s="31">
        <v>88</v>
      </c>
      <c r="K50" s="31">
        <v>89</v>
      </c>
      <c r="L50" s="31">
        <v>90</v>
      </c>
      <c r="M50" s="101"/>
      <c r="P50" s="6"/>
    </row>
    <row r="51" spans="1:19">
      <c r="A51" s="99"/>
      <c r="B51" s="8" t="str">
        <f t="shared" si="0"/>
        <v>2402</v>
      </c>
      <c r="C51" s="11">
        <v>81</v>
      </c>
      <c r="D51" s="11">
        <v>82</v>
      </c>
      <c r="E51" s="11">
        <v>83</v>
      </c>
      <c r="F51" s="9">
        <v>84</v>
      </c>
      <c r="G51" s="11">
        <v>85</v>
      </c>
      <c r="H51" s="95"/>
      <c r="I51" s="96"/>
      <c r="J51" s="96"/>
      <c r="K51" s="96"/>
      <c r="L51" s="97"/>
      <c r="M51" s="101"/>
      <c r="P51" s="6"/>
    </row>
    <row r="52" spans="1:19">
      <c r="A52" s="98">
        <v>25</v>
      </c>
      <c r="B52" s="8" t="str">
        <f t="shared" si="0"/>
        <v>2501</v>
      </c>
      <c r="C52" s="9">
        <v>91</v>
      </c>
      <c r="D52" s="9">
        <v>92</v>
      </c>
      <c r="E52" s="11">
        <v>93</v>
      </c>
      <c r="F52" s="11">
        <v>94</v>
      </c>
      <c r="G52" s="9">
        <v>95</v>
      </c>
      <c r="H52" s="11">
        <v>101</v>
      </c>
      <c r="I52" s="11">
        <v>102</v>
      </c>
      <c r="J52" s="9">
        <v>103</v>
      </c>
      <c r="K52" s="9">
        <v>104</v>
      </c>
      <c r="L52" s="9">
        <v>105</v>
      </c>
      <c r="M52" s="101"/>
      <c r="P52" s="6"/>
    </row>
    <row r="53" spans="1:19">
      <c r="A53" s="99"/>
      <c r="B53" s="8" t="str">
        <f t="shared" si="0"/>
        <v>2502</v>
      </c>
      <c r="C53" s="11">
        <v>96</v>
      </c>
      <c r="D53" s="9">
        <v>97</v>
      </c>
      <c r="E53" s="9">
        <v>98</v>
      </c>
      <c r="F53" s="9">
        <v>99</v>
      </c>
      <c r="G53" s="9">
        <v>100</v>
      </c>
      <c r="H53" s="95"/>
      <c r="I53" s="96"/>
      <c r="J53" s="96"/>
      <c r="K53" s="96"/>
      <c r="L53" s="97"/>
      <c r="M53" s="102"/>
      <c r="P53" s="6"/>
    </row>
    <row r="54" spans="1:19">
      <c r="A54" s="80">
        <v>1</v>
      </c>
      <c r="B54" s="8">
        <f>(INT((ROW()-54)/2)+1)*100 + (MOD(ROW()-54,2)+3)</f>
        <v>103</v>
      </c>
      <c r="C54" s="9">
        <v>1</v>
      </c>
      <c r="D54" s="9">
        <v>2</v>
      </c>
      <c r="E54" s="9">
        <v>3</v>
      </c>
      <c r="F54" s="9">
        <v>4</v>
      </c>
      <c r="G54" s="9">
        <v>5</v>
      </c>
      <c r="H54" s="9">
        <v>11</v>
      </c>
      <c r="I54" s="9">
        <v>12</v>
      </c>
      <c r="J54" s="9">
        <v>13</v>
      </c>
      <c r="K54" s="9">
        <v>14</v>
      </c>
      <c r="L54" s="9">
        <v>15</v>
      </c>
      <c r="M54" s="91" t="s">
        <v>18</v>
      </c>
      <c r="P54" s="6"/>
    </row>
    <row r="55" spans="1:19">
      <c r="A55" s="80"/>
      <c r="B55" s="8">
        <f t="shared" ref="B55:B103" si="1">(INT((ROW()-54)/2)+1)*100 + (MOD(ROW()-54,2)+3)</f>
        <v>104</v>
      </c>
      <c r="C55" s="9">
        <v>6</v>
      </c>
      <c r="D55" s="9">
        <v>7</v>
      </c>
      <c r="E55" s="9">
        <v>8</v>
      </c>
      <c r="F55" s="9">
        <v>9</v>
      </c>
      <c r="G55" s="9">
        <v>10</v>
      </c>
      <c r="H55" s="95"/>
      <c r="I55" s="96"/>
      <c r="J55" s="96"/>
      <c r="K55" s="96"/>
      <c r="L55" s="97"/>
      <c r="M55" s="91"/>
      <c r="P55" s="6"/>
    </row>
    <row r="56" spans="1:19">
      <c r="A56" s="80">
        <v>2</v>
      </c>
      <c r="B56" s="8">
        <f t="shared" si="1"/>
        <v>203</v>
      </c>
      <c r="C56" s="9">
        <v>16</v>
      </c>
      <c r="D56" s="9">
        <v>17</v>
      </c>
      <c r="E56" s="9">
        <v>18</v>
      </c>
      <c r="F56" s="9">
        <v>19</v>
      </c>
      <c r="G56" s="9">
        <v>20</v>
      </c>
      <c r="H56" s="31">
        <v>26</v>
      </c>
      <c r="I56" s="31">
        <v>27</v>
      </c>
      <c r="J56" s="31">
        <v>28</v>
      </c>
      <c r="K56" s="31">
        <v>29</v>
      </c>
      <c r="L56" s="31">
        <v>30</v>
      </c>
      <c r="M56" s="91"/>
      <c r="P56" s="6"/>
    </row>
    <row r="57" spans="1:19">
      <c r="A57" s="80"/>
      <c r="B57" s="8">
        <f t="shared" si="1"/>
        <v>204</v>
      </c>
      <c r="C57" s="9">
        <v>21</v>
      </c>
      <c r="D57" s="9">
        <v>22</v>
      </c>
      <c r="E57" s="9">
        <v>23</v>
      </c>
      <c r="F57" s="9">
        <v>24</v>
      </c>
      <c r="G57" s="9">
        <v>25</v>
      </c>
      <c r="H57" s="103"/>
      <c r="I57" s="104"/>
      <c r="J57" s="104"/>
      <c r="K57" s="104"/>
      <c r="L57" s="105"/>
      <c r="M57" s="91"/>
      <c r="P57" s="6"/>
    </row>
    <row r="58" spans="1:19">
      <c r="A58" s="80">
        <v>3</v>
      </c>
      <c r="B58" s="8">
        <f t="shared" si="1"/>
        <v>303</v>
      </c>
      <c r="C58" s="9">
        <v>31</v>
      </c>
      <c r="D58" s="9">
        <v>32</v>
      </c>
      <c r="E58" s="9">
        <v>33</v>
      </c>
      <c r="F58" s="9">
        <v>34</v>
      </c>
      <c r="G58" s="9">
        <v>35</v>
      </c>
      <c r="H58" s="9">
        <v>41</v>
      </c>
      <c r="I58" s="9">
        <v>42</v>
      </c>
      <c r="J58" s="9">
        <v>43</v>
      </c>
      <c r="K58" s="9">
        <v>44</v>
      </c>
      <c r="L58" s="9">
        <v>45</v>
      </c>
      <c r="M58" s="91"/>
      <c r="P58" s="6"/>
    </row>
    <row r="59" spans="1:19">
      <c r="A59" s="80"/>
      <c r="B59" s="8">
        <f t="shared" si="1"/>
        <v>304</v>
      </c>
      <c r="C59" s="9">
        <v>36</v>
      </c>
      <c r="D59" s="9">
        <v>37</v>
      </c>
      <c r="E59" s="9">
        <v>38</v>
      </c>
      <c r="F59" s="9">
        <v>39</v>
      </c>
      <c r="G59" s="9">
        <v>40</v>
      </c>
      <c r="H59" s="103"/>
      <c r="I59" s="104"/>
      <c r="J59" s="104"/>
      <c r="K59" s="104"/>
      <c r="L59" s="105"/>
      <c r="M59" s="91"/>
      <c r="P59" s="6"/>
    </row>
    <row r="60" spans="1:19">
      <c r="A60" s="80">
        <v>4</v>
      </c>
      <c r="B60" s="8">
        <f t="shared" si="1"/>
        <v>403</v>
      </c>
      <c r="C60" s="9">
        <v>46</v>
      </c>
      <c r="D60" s="9">
        <v>47</v>
      </c>
      <c r="E60" s="9">
        <v>48</v>
      </c>
      <c r="F60" s="9">
        <v>49</v>
      </c>
      <c r="G60" s="9">
        <v>50</v>
      </c>
      <c r="H60" s="31">
        <v>56</v>
      </c>
      <c r="I60" s="31">
        <v>57</v>
      </c>
      <c r="J60" s="31">
        <v>58</v>
      </c>
      <c r="K60" s="31">
        <v>59</v>
      </c>
      <c r="L60" s="31">
        <v>60</v>
      </c>
      <c r="M60" s="91"/>
      <c r="P60" s="6"/>
    </row>
    <row r="61" spans="1:19">
      <c r="A61" s="80"/>
      <c r="B61" s="8">
        <f t="shared" si="1"/>
        <v>404</v>
      </c>
      <c r="C61" s="9">
        <v>51</v>
      </c>
      <c r="D61" s="9">
        <v>52</v>
      </c>
      <c r="E61" s="9">
        <v>53</v>
      </c>
      <c r="F61" s="9">
        <v>54</v>
      </c>
      <c r="G61" s="9">
        <v>55</v>
      </c>
      <c r="H61" s="95"/>
      <c r="I61" s="96"/>
      <c r="J61" s="96"/>
      <c r="K61" s="96"/>
      <c r="L61" s="97"/>
      <c r="M61" s="91"/>
      <c r="P61" s="6"/>
    </row>
    <row r="62" spans="1:19">
      <c r="A62" s="80">
        <v>5</v>
      </c>
      <c r="B62" s="8">
        <f t="shared" si="1"/>
        <v>503</v>
      </c>
      <c r="C62" s="9">
        <v>61</v>
      </c>
      <c r="D62" s="9">
        <v>62</v>
      </c>
      <c r="E62" s="9">
        <v>63</v>
      </c>
      <c r="F62" s="9">
        <v>64</v>
      </c>
      <c r="G62" s="9">
        <v>65</v>
      </c>
      <c r="H62" s="9">
        <v>71</v>
      </c>
      <c r="I62" s="9">
        <v>72</v>
      </c>
      <c r="J62" s="9">
        <v>73</v>
      </c>
      <c r="K62" s="9">
        <v>74</v>
      </c>
      <c r="L62" s="9">
        <v>75</v>
      </c>
      <c r="M62" s="91"/>
      <c r="P62" s="6"/>
    </row>
    <row r="63" spans="1:19">
      <c r="A63" s="80"/>
      <c r="B63" s="8">
        <f t="shared" si="1"/>
        <v>504</v>
      </c>
      <c r="C63" s="9">
        <v>66</v>
      </c>
      <c r="D63" s="9">
        <v>67</v>
      </c>
      <c r="E63" s="9">
        <v>68</v>
      </c>
      <c r="F63" s="9">
        <v>69</v>
      </c>
      <c r="G63" s="9">
        <v>70</v>
      </c>
      <c r="H63" s="95"/>
      <c r="I63" s="96"/>
      <c r="J63" s="96"/>
      <c r="K63" s="96"/>
      <c r="L63" s="97"/>
      <c r="M63" s="91"/>
      <c r="P63" s="6"/>
    </row>
    <row r="64" spans="1:19">
      <c r="A64" s="80">
        <v>6</v>
      </c>
      <c r="B64" s="8">
        <f t="shared" si="1"/>
        <v>603</v>
      </c>
      <c r="C64" s="9">
        <v>76</v>
      </c>
      <c r="D64" s="9">
        <v>77</v>
      </c>
      <c r="E64" s="9">
        <v>78</v>
      </c>
      <c r="F64" s="9">
        <v>79</v>
      </c>
      <c r="G64" s="9">
        <v>80</v>
      </c>
      <c r="H64" s="31">
        <v>86</v>
      </c>
      <c r="I64" s="31">
        <v>87</v>
      </c>
      <c r="J64" s="31">
        <v>88</v>
      </c>
      <c r="K64" s="31">
        <v>89</v>
      </c>
      <c r="L64" s="31">
        <v>90</v>
      </c>
      <c r="M64" s="91"/>
      <c r="P64" s="6"/>
    </row>
    <row r="65" spans="1:16">
      <c r="A65" s="80"/>
      <c r="B65" s="8">
        <f t="shared" si="1"/>
        <v>604</v>
      </c>
      <c r="C65" s="9">
        <v>81</v>
      </c>
      <c r="D65" s="9">
        <v>82</v>
      </c>
      <c r="E65" s="9">
        <v>83</v>
      </c>
      <c r="F65" s="9">
        <v>84</v>
      </c>
      <c r="G65" s="9">
        <v>85</v>
      </c>
      <c r="H65" s="95"/>
      <c r="I65" s="96"/>
      <c r="J65" s="96"/>
      <c r="K65" s="96"/>
      <c r="L65" s="97"/>
      <c r="M65" s="91"/>
      <c r="P65" s="6"/>
    </row>
    <row r="66" spans="1:16">
      <c r="A66" s="80">
        <v>7</v>
      </c>
      <c r="B66" s="8">
        <f t="shared" si="1"/>
        <v>703</v>
      </c>
      <c r="C66" s="9">
        <v>1</v>
      </c>
      <c r="D66" s="11">
        <v>2</v>
      </c>
      <c r="E66" s="9">
        <v>3</v>
      </c>
      <c r="F66" s="9">
        <v>4</v>
      </c>
      <c r="G66" s="9">
        <v>5</v>
      </c>
      <c r="H66" s="9">
        <v>11</v>
      </c>
      <c r="I66" s="9">
        <v>12</v>
      </c>
      <c r="J66" s="9">
        <v>13</v>
      </c>
      <c r="K66" s="9">
        <v>14</v>
      </c>
      <c r="L66" s="9">
        <v>15</v>
      </c>
      <c r="M66" s="91" t="s">
        <v>20</v>
      </c>
      <c r="P66" s="6"/>
    </row>
    <row r="67" spans="1:16">
      <c r="A67" s="80"/>
      <c r="B67" s="8">
        <f t="shared" si="1"/>
        <v>704</v>
      </c>
      <c r="C67" s="9">
        <v>6</v>
      </c>
      <c r="D67" s="9">
        <v>7</v>
      </c>
      <c r="E67" s="9">
        <v>8</v>
      </c>
      <c r="F67" s="9">
        <v>9</v>
      </c>
      <c r="G67" s="9">
        <v>10</v>
      </c>
      <c r="H67" s="95"/>
      <c r="I67" s="96"/>
      <c r="J67" s="96"/>
      <c r="K67" s="96"/>
      <c r="L67" s="97"/>
      <c r="M67" s="91"/>
      <c r="P67" s="6"/>
    </row>
    <row r="68" spans="1:16">
      <c r="A68" s="80">
        <v>8</v>
      </c>
      <c r="B68" s="8">
        <f t="shared" si="1"/>
        <v>803</v>
      </c>
      <c r="C68" s="11">
        <v>16</v>
      </c>
      <c r="D68" s="9">
        <v>17</v>
      </c>
      <c r="E68" s="9">
        <v>18</v>
      </c>
      <c r="F68" s="9">
        <v>19</v>
      </c>
      <c r="G68" s="9">
        <v>20</v>
      </c>
      <c r="H68" s="31">
        <v>26</v>
      </c>
      <c r="I68" s="31">
        <v>27</v>
      </c>
      <c r="J68" s="31">
        <v>28</v>
      </c>
      <c r="K68" s="31">
        <v>29</v>
      </c>
      <c r="L68" s="31">
        <v>30</v>
      </c>
      <c r="M68" s="91"/>
      <c r="P68" s="6"/>
    </row>
    <row r="69" spans="1:16">
      <c r="A69" s="80"/>
      <c r="B69" s="8">
        <f t="shared" si="1"/>
        <v>804</v>
      </c>
      <c r="C69" s="9">
        <v>21</v>
      </c>
      <c r="D69" s="9">
        <v>22</v>
      </c>
      <c r="E69" s="9">
        <v>23</v>
      </c>
      <c r="F69" s="9">
        <v>24</v>
      </c>
      <c r="G69" s="9">
        <v>25</v>
      </c>
      <c r="H69" s="95"/>
      <c r="I69" s="96"/>
      <c r="J69" s="96"/>
      <c r="K69" s="96"/>
      <c r="L69" s="97"/>
      <c r="M69" s="91"/>
      <c r="P69" s="6"/>
    </row>
    <row r="70" spans="1:16">
      <c r="A70" s="80">
        <v>9</v>
      </c>
      <c r="B70" s="8">
        <f t="shared" si="1"/>
        <v>903</v>
      </c>
      <c r="C70" s="9">
        <v>31</v>
      </c>
      <c r="D70" s="9">
        <v>32</v>
      </c>
      <c r="E70" s="9">
        <v>33</v>
      </c>
      <c r="F70" s="9">
        <v>34</v>
      </c>
      <c r="G70" s="9">
        <v>35</v>
      </c>
      <c r="H70" s="9">
        <v>41</v>
      </c>
      <c r="I70" s="9">
        <v>42</v>
      </c>
      <c r="J70" s="9">
        <v>43</v>
      </c>
      <c r="K70" s="9">
        <v>44</v>
      </c>
      <c r="L70" s="9">
        <v>45</v>
      </c>
      <c r="M70" s="91"/>
      <c r="P70" s="6"/>
    </row>
    <row r="71" spans="1:16">
      <c r="A71" s="80"/>
      <c r="B71" s="8">
        <f t="shared" si="1"/>
        <v>904</v>
      </c>
      <c r="C71" s="9">
        <v>36</v>
      </c>
      <c r="D71" s="9">
        <v>37</v>
      </c>
      <c r="E71" s="9">
        <v>38</v>
      </c>
      <c r="F71" s="9">
        <v>39</v>
      </c>
      <c r="G71" s="9">
        <v>40</v>
      </c>
      <c r="H71" s="95"/>
      <c r="I71" s="96"/>
      <c r="J71" s="96"/>
      <c r="K71" s="96"/>
      <c r="L71" s="97"/>
      <c r="M71" s="91"/>
      <c r="P71" s="6"/>
    </row>
    <row r="72" spans="1:16">
      <c r="A72" s="80">
        <v>10</v>
      </c>
      <c r="B72" s="8">
        <f t="shared" si="1"/>
        <v>1003</v>
      </c>
      <c r="C72" s="9">
        <v>46</v>
      </c>
      <c r="D72" s="9">
        <v>47</v>
      </c>
      <c r="E72" s="9">
        <v>48</v>
      </c>
      <c r="F72" s="9">
        <v>49</v>
      </c>
      <c r="G72" s="9">
        <v>50</v>
      </c>
      <c r="H72" s="31">
        <v>56</v>
      </c>
      <c r="I72" s="31">
        <v>57</v>
      </c>
      <c r="J72" s="31">
        <v>58</v>
      </c>
      <c r="K72" s="31">
        <v>59</v>
      </c>
      <c r="L72" s="31">
        <v>60</v>
      </c>
      <c r="M72" s="91"/>
      <c r="P72" s="6"/>
    </row>
    <row r="73" spans="1:16">
      <c r="A73" s="80"/>
      <c r="B73" s="8">
        <f t="shared" si="1"/>
        <v>1004</v>
      </c>
      <c r="C73" s="9">
        <v>51</v>
      </c>
      <c r="D73" s="9">
        <v>52</v>
      </c>
      <c r="E73" s="9">
        <v>53</v>
      </c>
      <c r="F73" s="9">
        <v>54</v>
      </c>
      <c r="G73" s="9">
        <v>55</v>
      </c>
      <c r="H73" s="95"/>
      <c r="I73" s="96"/>
      <c r="J73" s="96"/>
      <c r="K73" s="96"/>
      <c r="L73" s="97"/>
      <c r="M73" s="91"/>
      <c r="P73" s="6"/>
    </row>
    <row r="74" spans="1:16">
      <c r="A74" s="98">
        <v>11</v>
      </c>
      <c r="B74" s="8">
        <f t="shared" si="1"/>
        <v>1103</v>
      </c>
      <c r="C74" s="9">
        <v>61</v>
      </c>
      <c r="D74" s="9">
        <v>62</v>
      </c>
      <c r="E74" s="9">
        <v>63</v>
      </c>
      <c r="F74" s="9">
        <v>64</v>
      </c>
      <c r="G74" s="9">
        <v>65</v>
      </c>
      <c r="H74" s="9">
        <v>71</v>
      </c>
      <c r="I74" s="9">
        <v>72</v>
      </c>
      <c r="J74" s="9">
        <v>73</v>
      </c>
      <c r="K74" s="9">
        <v>74</v>
      </c>
      <c r="L74" s="9">
        <v>75</v>
      </c>
      <c r="M74" s="91"/>
      <c r="P74" s="6"/>
    </row>
    <row r="75" spans="1:16">
      <c r="A75" s="99"/>
      <c r="B75" s="8">
        <f t="shared" si="1"/>
        <v>1104</v>
      </c>
      <c r="C75" s="9">
        <v>66</v>
      </c>
      <c r="D75" s="9">
        <v>67</v>
      </c>
      <c r="E75" s="9">
        <v>68</v>
      </c>
      <c r="F75" s="9">
        <v>69</v>
      </c>
      <c r="G75" s="9">
        <v>70</v>
      </c>
      <c r="H75" s="95"/>
      <c r="I75" s="96"/>
      <c r="J75" s="96"/>
      <c r="K75" s="96"/>
      <c r="L75" s="97"/>
      <c r="M75" s="91"/>
      <c r="P75" s="6"/>
    </row>
    <row r="76" spans="1:16">
      <c r="A76" s="80">
        <v>12</v>
      </c>
      <c r="B76" s="8">
        <f t="shared" si="1"/>
        <v>1203</v>
      </c>
      <c r="C76" s="9">
        <v>76</v>
      </c>
      <c r="D76" s="9">
        <v>77</v>
      </c>
      <c r="E76" s="9">
        <v>78</v>
      </c>
      <c r="F76" s="9">
        <v>79</v>
      </c>
      <c r="G76" s="9">
        <v>80</v>
      </c>
      <c r="H76" s="31">
        <v>86</v>
      </c>
      <c r="I76" s="31">
        <v>87</v>
      </c>
      <c r="J76" s="31">
        <v>88</v>
      </c>
      <c r="K76" s="31">
        <v>89</v>
      </c>
      <c r="L76" s="31">
        <v>90</v>
      </c>
      <c r="M76" s="91"/>
      <c r="P76" s="6"/>
    </row>
    <row r="77" spans="1:16">
      <c r="A77" s="80"/>
      <c r="B77" s="8">
        <f t="shared" si="1"/>
        <v>1204</v>
      </c>
      <c r="C77" s="9">
        <v>81</v>
      </c>
      <c r="D77" s="9">
        <v>82</v>
      </c>
      <c r="E77" s="11">
        <v>83</v>
      </c>
      <c r="F77" s="9">
        <v>84</v>
      </c>
      <c r="G77" s="9">
        <v>85</v>
      </c>
      <c r="H77" s="95"/>
      <c r="I77" s="96"/>
      <c r="J77" s="96"/>
      <c r="K77" s="96"/>
      <c r="L77" s="97"/>
      <c r="M77" s="91"/>
      <c r="P77" s="6"/>
    </row>
    <row r="78" spans="1:16">
      <c r="A78" s="80">
        <v>13</v>
      </c>
      <c r="B78" s="8">
        <f t="shared" si="1"/>
        <v>1303</v>
      </c>
      <c r="C78" s="9">
        <v>1</v>
      </c>
      <c r="D78" s="9">
        <v>2</v>
      </c>
      <c r="E78" s="9">
        <v>3</v>
      </c>
      <c r="F78" s="9">
        <v>4</v>
      </c>
      <c r="G78" s="10">
        <v>5</v>
      </c>
      <c r="H78" s="9">
        <v>11</v>
      </c>
      <c r="I78" s="9">
        <v>12</v>
      </c>
      <c r="J78" s="9">
        <v>13</v>
      </c>
      <c r="K78" s="9">
        <v>14</v>
      </c>
      <c r="L78" s="9">
        <v>15</v>
      </c>
      <c r="M78" s="91" t="s">
        <v>21</v>
      </c>
      <c r="P78" s="6"/>
    </row>
    <row r="79" spans="1:16">
      <c r="A79" s="80"/>
      <c r="B79" s="8">
        <f t="shared" si="1"/>
        <v>1304</v>
      </c>
      <c r="C79" s="9">
        <v>6</v>
      </c>
      <c r="D79" s="9">
        <v>7</v>
      </c>
      <c r="E79" s="9">
        <v>8</v>
      </c>
      <c r="F79" s="9">
        <v>9</v>
      </c>
      <c r="G79" s="9">
        <v>10</v>
      </c>
      <c r="H79" s="95"/>
      <c r="I79" s="96"/>
      <c r="J79" s="96"/>
      <c r="K79" s="96"/>
      <c r="L79" s="97"/>
      <c r="M79" s="91"/>
      <c r="P79" s="6"/>
    </row>
    <row r="80" spans="1:16">
      <c r="A80" s="80">
        <v>14</v>
      </c>
      <c r="B80" s="8">
        <f t="shared" si="1"/>
        <v>1403</v>
      </c>
      <c r="C80" s="9">
        <v>16</v>
      </c>
      <c r="D80" s="11">
        <v>17</v>
      </c>
      <c r="E80" s="9">
        <v>18</v>
      </c>
      <c r="F80" s="9">
        <v>19</v>
      </c>
      <c r="G80" s="9">
        <v>20</v>
      </c>
      <c r="H80" s="32">
        <v>26</v>
      </c>
      <c r="I80" s="31">
        <v>27</v>
      </c>
      <c r="J80" s="31">
        <v>28</v>
      </c>
      <c r="K80" s="31">
        <v>29</v>
      </c>
      <c r="L80" s="31">
        <v>30</v>
      </c>
      <c r="M80" s="91"/>
      <c r="P80" s="6"/>
    </row>
    <row r="81" spans="1:20">
      <c r="A81" s="80"/>
      <c r="B81" s="8">
        <f t="shared" si="1"/>
        <v>1404</v>
      </c>
      <c r="C81" s="9">
        <v>21</v>
      </c>
      <c r="D81" s="9">
        <v>22</v>
      </c>
      <c r="E81" s="9">
        <v>23</v>
      </c>
      <c r="F81" s="9">
        <v>24</v>
      </c>
      <c r="G81" s="9">
        <v>25</v>
      </c>
      <c r="H81" s="95"/>
      <c r="I81" s="96"/>
      <c r="J81" s="96"/>
      <c r="K81" s="96"/>
      <c r="L81" s="97"/>
      <c r="M81" s="91"/>
      <c r="P81" s="6"/>
    </row>
    <row r="82" spans="1:20">
      <c r="A82" s="80">
        <v>15</v>
      </c>
      <c r="B82" s="8">
        <f t="shared" si="1"/>
        <v>1503</v>
      </c>
      <c r="C82" s="9">
        <v>31</v>
      </c>
      <c r="D82" s="9">
        <v>32</v>
      </c>
      <c r="E82" s="9">
        <v>33</v>
      </c>
      <c r="F82" s="9">
        <v>34</v>
      </c>
      <c r="G82" s="9">
        <v>35</v>
      </c>
      <c r="H82" s="9">
        <v>41</v>
      </c>
      <c r="I82" s="9">
        <v>42</v>
      </c>
      <c r="J82" s="9">
        <v>43</v>
      </c>
      <c r="K82" s="9">
        <v>44</v>
      </c>
      <c r="L82" s="9">
        <v>45</v>
      </c>
      <c r="M82" s="91"/>
      <c r="P82" s="6"/>
    </row>
    <row r="83" spans="1:20">
      <c r="A83" s="80"/>
      <c r="B83" s="8">
        <f t="shared" si="1"/>
        <v>1504</v>
      </c>
      <c r="C83" s="9">
        <v>36</v>
      </c>
      <c r="D83" s="9">
        <v>37</v>
      </c>
      <c r="E83" s="9">
        <v>38</v>
      </c>
      <c r="F83" s="11">
        <v>39</v>
      </c>
      <c r="G83" s="9">
        <v>40</v>
      </c>
      <c r="H83" s="95"/>
      <c r="I83" s="96"/>
      <c r="J83" s="96"/>
      <c r="K83" s="96"/>
      <c r="L83" s="97"/>
      <c r="M83" s="91"/>
      <c r="P83" s="6"/>
    </row>
    <row r="84" spans="1:20">
      <c r="A84" s="80">
        <v>16</v>
      </c>
      <c r="B84" s="8">
        <f t="shared" si="1"/>
        <v>1603</v>
      </c>
      <c r="C84" s="9">
        <v>46</v>
      </c>
      <c r="D84" s="9">
        <v>47</v>
      </c>
      <c r="E84" s="9">
        <v>48</v>
      </c>
      <c r="F84" s="9">
        <v>49</v>
      </c>
      <c r="G84" s="9">
        <v>50</v>
      </c>
      <c r="H84" s="31">
        <v>56</v>
      </c>
      <c r="I84" s="31">
        <v>57</v>
      </c>
      <c r="J84" s="31">
        <v>58</v>
      </c>
      <c r="K84" s="31">
        <v>59</v>
      </c>
      <c r="L84" s="31">
        <v>60</v>
      </c>
      <c r="M84" s="91"/>
      <c r="P84" s="6"/>
    </row>
    <row r="85" spans="1:20">
      <c r="A85" s="80"/>
      <c r="B85" s="8">
        <f t="shared" si="1"/>
        <v>1604</v>
      </c>
      <c r="C85" s="9">
        <v>51</v>
      </c>
      <c r="D85" s="9">
        <v>52</v>
      </c>
      <c r="E85" s="9">
        <v>53</v>
      </c>
      <c r="F85" s="9">
        <v>54</v>
      </c>
      <c r="G85" s="9">
        <v>55</v>
      </c>
      <c r="H85" s="95"/>
      <c r="I85" s="96"/>
      <c r="J85" s="96"/>
      <c r="K85" s="96"/>
      <c r="L85" s="97"/>
      <c r="M85" s="91"/>
      <c r="P85" s="6"/>
    </row>
    <row r="86" spans="1:20">
      <c r="A86" s="80">
        <v>17</v>
      </c>
      <c r="B86" s="8">
        <f t="shared" si="1"/>
        <v>1703</v>
      </c>
      <c r="C86" s="9">
        <v>61</v>
      </c>
      <c r="D86" s="9">
        <v>62</v>
      </c>
      <c r="E86" s="9">
        <v>63</v>
      </c>
      <c r="F86" s="9">
        <v>64</v>
      </c>
      <c r="G86" s="9">
        <v>65</v>
      </c>
      <c r="H86" s="9">
        <v>71</v>
      </c>
      <c r="I86" s="9">
        <v>72</v>
      </c>
      <c r="J86" s="9">
        <v>73</v>
      </c>
      <c r="K86" s="9">
        <v>74</v>
      </c>
      <c r="L86" s="9">
        <v>75</v>
      </c>
      <c r="M86" s="91"/>
    </row>
    <row r="87" spans="1:20">
      <c r="A87" s="80"/>
      <c r="B87" s="8">
        <f t="shared" si="1"/>
        <v>1704</v>
      </c>
      <c r="C87" s="9">
        <v>66</v>
      </c>
      <c r="D87" s="9">
        <v>67</v>
      </c>
      <c r="E87" s="9">
        <v>68</v>
      </c>
      <c r="F87" s="9">
        <v>69</v>
      </c>
      <c r="G87" s="9">
        <v>70</v>
      </c>
      <c r="H87" s="95"/>
      <c r="I87" s="96"/>
      <c r="J87" s="96"/>
      <c r="K87" s="96"/>
      <c r="L87" s="97"/>
      <c r="M87" s="91"/>
    </row>
    <row r="88" spans="1:20">
      <c r="A88" s="80">
        <v>18</v>
      </c>
      <c r="B88" s="8">
        <f t="shared" si="1"/>
        <v>1803</v>
      </c>
      <c r="C88" s="9">
        <v>76</v>
      </c>
      <c r="D88" s="9">
        <v>77</v>
      </c>
      <c r="E88" s="9">
        <v>78</v>
      </c>
      <c r="F88" s="9">
        <v>79</v>
      </c>
      <c r="G88" s="9">
        <v>80</v>
      </c>
      <c r="H88" s="31">
        <v>86</v>
      </c>
      <c r="I88" s="31">
        <v>87</v>
      </c>
      <c r="J88" s="31">
        <v>88</v>
      </c>
      <c r="K88" s="31">
        <v>89</v>
      </c>
      <c r="L88" s="31">
        <v>90</v>
      </c>
      <c r="M88" s="91"/>
      <c r="O88" s="6"/>
    </row>
    <row r="89" spans="1:20">
      <c r="A89" s="80"/>
      <c r="B89" s="8">
        <f t="shared" si="1"/>
        <v>1804</v>
      </c>
      <c r="C89" s="9">
        <v>81</v>
      </c>
      <c r="D89" s="9">
        <v>82</v>
      </c>
      <c r="E89" s="9">
        <v>83</v>
      </c>
      <c r="F89" s="9">
        <v>84</v>
      </c>
      <c r="G89" s="9">
        <v>85</v>
      </c>
      <c r="H89" s="95"/>
      <c r="I89" s="96"/>
      <c r="J89" s="96"/>
      <c r="K89" s="96"/>
      <c r="L89" s="97"/>
      <c r="M89" s="91"/>
      <c r="O89" s="6"/>
    </row>
    <row r="90" spans="1:20">
      <c r="A90" s="80">
        <v>19</v>
      </c>
      <c r="B90" s="8">
        <f t="shared" si="1"/>
        <v>1903</v>
      </c>
      <c r="C90" s="9">
        <v>1</v>
      </c>
      <c r="D90" s="9">
        <v>2</v>
      </c>
      <c r="E90" s="9">
        <v>3</v>
      </c>
      <c r="F90" s="9">
        <v>4</v>
      </c>
      <c r="G90" s="9">
        <v>5</v>
      </c>
      <c r="H90" s="9">
        <v>11</v>
      </c>
      <c r="I90" s="9">
        <v>12</v>
      </c>
      <c r="J90" s="9">
        <v>13</v>
      </c>
      <c r="K90" s="9">
        <v>14</v>
      </c>
      <c r="L90" s="9">
        <v>15</v>
      </c>
      <c r="M90" s="100" t="s">
        <v>22</v>
      </c>
      <c r="O90" s="6"/>
    </row>
    <row r="91" spans="1:20">
      <c r="A91" s="80"/>
      <c r="B91" s="8">
        <f t="shared" si="1"/>
        <v>1904</v>
      </c>
      <c r="C91" s="9">
        <v>6</v>
      </c>
      <c r="D91" s="9">
        <v>7</v>
      </c>
      <c r="E91" s="9">
        <v>8</v>
      </c>
      <c r="F91" s="9">
        <v>9</v>
      </c>
      <c r="G91" s="9">
        <v>10</v>
      </c>
      <c r="H91" s="95"/>
      <c r="I91" s="96"/>
      <c r="J91" s="96"/>
      <c r="K91" s="96"/>
      <c r="L91" s="97"/>
      <c r="M91" s="101"/>
      <c r="O91" s="6"/>
    </row>
    <row r="92" spans="1:20">
      <c r="A92" s="80">
        <v>20</v>
      </c>
      <c r="B92" s="8">
        <f t="shared" si="1"/>
        <v>2003</v>
      </c>
      <c r="C92" s="9">
        <v>16</v>
      </c>
      <c r="D92" s="9">
        <v>17</v>
      </c>
      <c r="E92" s="9">
        <v>18</v>
      </c>
      <c r="F92" s="9">
        <v>19</v>
      </c>
      <c r="G92" s="9">
        <v>20</v>
      </c>
      <c r="H92" s="31">
        <v>26</v>
      </c>
      <c r="I92" s="31">
        <v>27</v>
      </c>
      <c r="J92" s="31">
        <v>28</v>
      </c>
      <c r="K92" s="31">
        <v>29</v>
      </c>
      <c r="L92" s="31">
        <v>30</v>
      </c>
      <c r="M92" s="101"/>
      <c r="O92" s="6"/>
      <c r="T92" s="18"/>
    </row>
    <row r="93" spans="1:20">
      <c r="A93" s="80"/>
      <c r="B93" s="8">
        <f t="shared" si="1"/>
        <v>2004</v>
      </c>
      <c r="C93" s="9">
        <v>21</v>
      </c>
      <c r="D93" s="9">
        <v>22</v>
      </c>
      <c r="E93" s="9">
        <v>23</v>
      </c>
      <c r="F93" s="9">
        <v>24</v>
      </c>
      <c r="G93" s="9">
        <v>25</v>
      </c>
      <c r="H93" s="95"/>
      <c r="I93" s="96"/>
      <c r="J93" s="96"/>
      <c r="K93" s="96"/>
      <c r="L93" s="97"/>
      <c r="M93" s="101"/>
      <c r="O93" s="6"/>
    </row>
    <row r="94" spans="1:20">
      <c r="A94" s="80">
        <v>21</v>
      </c>
      <c r="B94" s="8">
        <f t="shared" si="1"/>
        <v>2103</v>
      </c>
      <c r="C94" s="9">
        <v>31</v>
      </c>
      <c r="D94" s="9">
        <v>32</v>
      </c>
      <c r="E94" s="9">
        <v>33</v>
      </c>
      <c r="F94" s="9">
        <v>34</v>
      </c>
      <c r="G94" s="9">
        <v>35</v>
      </c>
      <c r="H94" s="9">
        <v>41</v>
      </c>
      <c r="I94" s="9">
        <v>42</v>
      </c>
      <c r="J94" s="9">
        <v>43</v>
      </c>
      <c r="K94" s="9">
        <v>44</v>
      </c>
      <c r="L94" s="10">
        <v>45</v>
      </c>
      <c r="M94" s="101"/>
      <c r="O94" s="6"/>
    </row>
    <row r="95" spans="1:20">
      <c r="A95" s="80"/>
      <c r="B95" s="8">
        <f t="shared" si="1"/>
        <v>2104</v>
      </c>
      <c r="C95" s="9">
        <v>36</v>
      </c>
      <c r="D95" s="9">
        <v>37</v>
      </c>
      <c r="E95" s="9">
        <v>38</v>
      </c>
      <c r="F95" s="9">
        <v>39</v>
      </c>
      <c r="G95" s="9">
        <v>40</v>
      </c>
      <c r="H95" s="95"/>
      <c r="I95" s="96"/>
      <c r="J95" s="96"/>
      <c r="K95" s="96"/>
      <c r="L95" s="97"/>
      <c r="M95" s="101"/>
      <c r="O95" s="6"/>
    </row>
    <row r="96" spans="1:20">
      <c r="A96" s="80">
        <v>22</v>
      </c>
      <c r="B96" s="8">
        <f t="shared" si="1"/>
        <v>2203</v>
      </c>
      <c r="C96" s="9">
        <v>46</v>
      </c>
      <c r="D96" s="9">
        <v>47</v>
      </c>
      <c r="E96" s="9">
        <v>48</v>
      </c>
      <c r="F96" s="9">
        <v>49</v>
      </c>
      <c r="G96" s="9">
        <v>50</v>
      </c>
      <c r="H96" s="31">
        <v>56</v>
      </c>
      <c r="I96" s="31">
        <v>57</v>
      </c>
      <c r="J96" s="31">
        <v>58</v>
      </c>
      <c r="K96" s="31">
        <v>59</v>
      </c>
      <c r="L96" s="31">
        <v>60</v>
      </c>
      <c r="M96" s="101"/>
      <c r="O96" s="6"/>
    </row>
    <row r="97" spans="1:16">
      <c r="A97" s="80"/>
      <c r="B97" s="8">
        <f t="shared" si="1"/>
        <v>2204</v>
      </c>
      <c r="C97" s="9">
        <v>51</v>
      </c>
      <c r="D97" s="9">
        <v>52</v>
      </c>
      <c r="E97" s="9">
        <v>53</v>
      </c>
      <c r="F97" s="9">
        <v>54</v>
      </c>
      <c r="G97" s="9">
        <v>55</v>
      </c>
      <c r="H97" s="95"/>
      <c r="I97" s="96"/>
      <c r="J97" s="96"/>
      <c r="K97" s="96"/>
      <c r="L97" s="97"/>
      <c r="M97" s="101"/>
      <c r="O97" s="6"/>
    </row>
    <row r="98" spans="1:16">
      <c r="A98" s="80">
        <v>23</v>
      </c>
      <c r="B98" s="8">
        <f t="shared" si="1"/>
        <v>2303</v>
      </c>
      <c r="C98" s="9">
        <v>61</v>
      </c>
      <c r="D98" s="9">
        <v>62</v>
      </c>
      <c r="E98" s="9">
        <v>63</v>
      </c>
      <c r="F98" s="9">
        <v>64</v>
      </c>
      <c r="G98" s="9">
        <v>65</v>
      </c>
      <c r="H98" s="9">
        <v>71</v>
      </c>
      <c r="I98" s="9">
        <v>72</v>
      </c>
      <c r="J98" s="9">
        <v>73</v>
      </c>
      <c r="K98" s="9">
        <v>74</v>
      </c>
      <c r="L98" s="9">
        <v>75</v>
      </c>
      <c r="M98" s="101"/>
      <c r="O98" s="6"/>
      <c r="P98" s="6"/>
    </row>
    <row r="99" spans="1:16">
      <c r="A99" s="80"/>
      <c r="B99" s="8">
        <f t="shared" si="1"/>
        <v>2304</v>
      </c>
      <c r="C99" s="9">
        <v>66</v>
      </c>
      <c r="D99" s="9">
        <v>67</v>
      </c>
      <c r="E99" s="9">
        <v>68</v>
      </c>
      <c r="F99" s="9">
        <v>69</v>
      </c>
      <c r="G99" s="9">
        <v>70</v>
      </c>
      <c r="H99" s="95"/>
      <c r="I99" s="96"/>
      <c r="J99" s="96"/>
      <c r="K99" s="96"/>
      <c r="L99" s="97"/>
      <c r="M99" s="101"/>
      <c r="O99" s="6"/>
      <c r="P99" s="6"/>
    </row>
    <row r="100" spans="1:16">
      <c r="A100" s="80">
        <v>24</v>
      </c>
      <c r="B100" s="8">
        <f t="shared" si="1"/>
        <v>2403</v>
      </c>
      <c r="C100" s="11">
        <v>76</v>
      </c>
      <c r="D100" s="9">
        <v>77</v>
      </c>
      <c r="E100" s="9">
        <v>78</v>
      </c>
      <c r="F100" s="9">
        <v>79</v>
      </c>
      <c r="G100" s="9">
        <v>80</v>
      </c>
      <c r="H100" s="31">
        <v>86</v>
      </c>
      <c r="I100" s="31">
        <v>87</v>
      </c>
      <c r="J100" s="31">
        <v>88</v>
      </c>
      <c r="K100" s="31">
        <v>89</v>
      </c>
      <c r="L100" s="31">
        <v>90</v>
      </c>
      <c r="M100" s="101"/>
      <c r="P100" s="6"/>
    </row>
    <row r="101" spans="1:16">
      <c r="A101" s="80"/>
      <c r="B101" s="8">
        <f t="shared" si="1"/>
        <v>2404</v>
      </c>
      <c r="C101" s="9">
        <v>81</v>
      </c>
      <c r="D101" s="9">
        <v>82</v>
      </c>
      <c r="E101" s="9">
        <v>83</v>
      </c>
      <c r="F101" s="9">
        <v>84</v>
      </c>
      <c r="G101" s="9">
        <v>85</v>
      </c>
      <c r="H101" s="95"/>
      <c r="I101" s="96"/>
      <c r="J101" s="96"/>
      <c r="K101" s="96"/>
      <c r="L101" s="97"/>
      <c r="M101" s="101"/>
      <c r="P101" s="6"/>
    </row>
    <row r="102" spans="1:16">
      <c r="A102" s="80">
        <v>25</v>
      </c>
      <c r="B102" s="8">
        <f t="shared" si="1"/>
        <v>2503</v>
      </c>
      <c r="C102" s="9">
        <v>91</v>
      </c>
      <c r="D102" s="9">
        <v>92</v>
      </c>
      <c r="E102" s="9">
        <v>93</v>
      </c>
      <c r="F102" s="9">
        <v>94</v>
      </c>
      <c r="G102" s="9">
        <v>95</v>
      </c>
      <c r="H102" s="9">
        <v>101</v>
      </c>
      <c r="I102" s="9">
        <v>102</v>
      </c>
      <c r="J102" s="9">
        <v>103</v>
      </c>
      <c r="K102" s="9">
        <v>104</v>
      </c>
      <c r="L102" s="9">
        <v>105</v>
      </c>
      <c r="M102" s="101"/>
      <c r="P102" s="6"/>
    </row>
    <row r="103" spans="1:16">
      <c r="A103" s="80"/>
      <c r="B103" s="8">
        <f t="shared" si="1"/>
        <v>2504</v>
      </c>
      <c r="C103" s="9">
        <v>96</v>
      </c>
      <c r="D103" s="9">
        <v>97</v>
      </c>
      <c r="E103" s="9">
        <v>98</v>
      </c>
      <c r="F103" s="9">
        <v>99</v>
      </c>
      <c r="G103" s="9">
        <v>100</v>
      </c>
      <c r="H103" s="95"/>
      <c r="I103" s="96"/>
      <c r="J103" s="96"/>
      <c r="K103" s="96"/>
      <c r="L103" s="97"/>
      <c r="M103" s="102"/>
      <c r="P103" s="6"/>
    </row>
  </sheetData>
  <mergeCells count="128">
    <mergeCell ref="A98:A99"/>
    <mergeCell ref="H99:L99"/>
    <mergeCell ref="A100:A101"/>
    <mergeCell ref="H101:L101"/>
    <mergeCell ref="A102:A103"/>
    <mergeCell ref="H103:L103"/>
    <mergeCell ref="H89:L89"/>
    <mergeCell ref="A90:A91"/>
    <mergeCell ref="M90:M103"/>
    <mergeCell ref="H91:L91"/>
    <mergeCell ref="A92:A93"/>
    <mergeCell ref="H93:L93"/>
    <mergeCell ref="A94:A95"/>
    <mergeCell ref="H95:L95"/>
    <mergeCell ref="A96:A97"/>
    <mergeCell ref="H97:L97"/>
    <mergeCell ref="H65:L65"/>
    <mergeCell ref="A66:A67"/>
    <mergeCell ref="A78:A79"/>
    <mergeCell ref="M78:M89"/>
    <mergeCell ref="H79:L79"/>
    <mergeCell ref="A80:A81"/>
    <mergeCell ref="H81:L81"/>
    <mergeCell ref="A82:A83"/>
    <mergeCell ref="H83:L83"/>
    <mergeCell ref="A84:A85"/>
    <mergeCell ref="H85:L85"/>
    <mergeCell ref="A86:A87"/>
    <mergeCell ref="H87:L87"/>
    <mergeCell ref="A88:A89"/>
    <mergeCell ref="M66:M77"/>
    <mergeCell ref="H67:L67"/>
    <mergeCell ref="A68:A69"/>
    <mergeCell ref="H69:L69"/>
    <mergeCell ref="A70:A71"/>
    <mergeCell ref="H71:L71"/>
    <mergeCell ref="A54:A55"/>
    <mergeCell ref="M54:M65"/>
    <mergeCell ref="H55:L55"/>
    <mergeCell ref="A56:A57"/>
    <mergeCell ref="H57:L57"/>
    <mergeCell ref="A58:A59"/>
    <mergeCell ref="H59:L59"/>
    <mergeCell ref="A60:A61"/>
    <mergeCell ref="H61:L61"/>
    <mergeCell ref="A62:A63"/>
    <mergeCell ref="A72:A73"/>
    <mergeCell ref="H73:L73"/>
    <mergeCell ref="A74:A75"/>
    <mergeCell ref="H75:L75"/>
    <mergeCell ref="A76:A77"/>
    <mergeCell ref="H77:L77"/>
    <mergeCell ref="H63:L63"/>
    <mergeCell ref="A64:A65"/>
    <mergeCell ref="H43:L43"/>
    <mergeCell ref="A44:A45"/>
    <mergeCell ref="H45:L45"/>
    <mergeCell ref="M40:M53"/>
    <mergeCell ref="A48:A49"/>
    <mergeCell ref="H49:L49"/>
    <mergeCell ref="A50:A51"/>
    <mergeCell ref="H51:L51"/>
    <mergeCell ref="A52:A53"/>
    <mergeCell ref="H53:L53"/>
    <mergeCell ref="A46:A47"/>
    <mergeCell ref="H47:L47"/>
    <mergeCell ref="H31:L31"/>
    <mergeCell ref="A32:A33"/>
    <mergeCell ref="H33:L33"/>
    <mergeCell ref="A34:A35"/>
    <mergeCell ref="T34:T37"/>
    <mergeCell ref="H35:L35"/>
    <mergeCell ref="A36:A37"/>
    <mergeCell ref="H37:L37"/>
    <mergeCell ref="A24:A25"/>
    <mergeCell ref="T24:T27"/>
    <mergeCell ref="H25:L25"/>
    <mergeCell ref="A26:A27"/>
    <mergeCell ref="H27:L27"/>
    <mergeCell ref="A28:A29"/>
    <mergeCell ref="M28:M39"/>
    <mergeCell ref="H29:L29"/>
    <mergeCell ref="T29:T32"/>
    <mergeCell ref="A30:A31"/>
    <mergeCell ref="A38:A39"/>
    <mergeCell ref="H39:L39"/>
    <mergeCell ref="T39:T42"/>
    <mergeCell ref="A40:A41"/>
    <mergeCell ref="H41:L41"/>
    <mergeCell ref="A42:A43"/>
    <mergeCell ref="H17:L17"/>
    <mergeCell ref="A18:A19"/>
    <mergeCell ref="H19:L19"/>
    <mergeCell ref="T19:T22"/>
    <mergeCell ref="A20:A21"/>
    <mergeCell ref="H21:L21"/>
    <mergeCell ref="A22:A23"/>
    <mergeCell ref="H23:L23"/>
    <mergeCell ref="T9:T12"/>
    <mergeCell ref="A10:A11"/>
    <mergeCell ref="H11:L11"/>
    <mergeCell ref="A12:A13"/>
    <mergeCell ref="H13:L13"/>
    <mergeCell ref="A14:A15"/>
    <mergeCell ref="T14:T17"/>
    <mergeCell ref="H15:L15"/>
    <mergeCell ref="A16:A17"/>
    <mergeCell ref="M16:M27"/>
    <mergeCell ref="P3:Q3"/>
    <mergeCell ref="A4:A5"/>
    <mergeCell ref="M4:M15"/>
    <mergeCell ref="O4:O7"/>
    <mergeCell ref="T4:T7"/>
    <mergeCell ref="H5:L5"/>
    <mergeCell ref="A6:A7"/>
    <mergeCell ref="H7:L7"/>
    <mergeCell ref="A8:A9"/>
    <mergeCell ref="H9:L9"/>
    <mergeCell ref="A1:M1"/>
    <mergeCell ref="A2:A3"/>
    <mergeCell ref="B2:B3"/>
    <mergeCell ref="C2:G3"/>
    <mergeCell ref="H2:H3"/>
    <mergeCell ref="I2:I3"/>
    <mergeCell ref="J2:J3"/>
    <mergeCell ref="K2:K3"/>
    <mergeCell ref="L2:L3"/>
    <mergeCell ref="M2:M3"/>
  </mergeCells>
  <conditionalFormatting sqref="F10:G10">
    <cfRule type="cellIs" dxfId="325" priority="16" operator="equal">
      <formula>"Ногоон"</formula>
    </cfRule>
    <cfRule type="cellIs" dxfId="324" priority="17" operator="equal">
      <formula>"Улаан"</formula>
    </cfRule>
  </conditionalFormatting>
  <conditionalFormatting sqref="C4:L4 C5:H5 C6:G15 H8:L8 H9 H12:L12 H13 C16:L16 C17:H17 C18:G27 H20:L20 H21 H24:L24 H25 C28:L28 C29:H29 C30:G39 H32:L32 H33 H36:L36 H37 C40:L40 C41:H41 C42:G51 H44:L44 H45 H48:L48 H49 C52:L52 C53:H53 C54:L54 C55:H55 C56:G65 H58:L58 H59 H62:L62 H63 C66:L66 C67:H67 C68:G77 H70:L70 H71 H74:L74 H75 C78:L78 C79:H79 C80:G89 H82:L82 H83 H86:L86 H87 C90:L90 C91:H91 C92:G101 H94:L94 H95 H98:L98 H99 C102:L102 C103:H103">
    <cfRule type="cellIs" dxfId="323" priority="15" operator="equal">
      <formula>"Улаан"</formula>
    </cfRule>
  </conditionalFormatting>
  <conditionalFormatting sqref="F22:G22">
    <cfRule type="cellIs" dxfId="322" priority="13" operator="equal">
      <formula>"Ногоон"</formula>
    </cfRule>
    <cfRule type="cellIs" dxfId="321" priority="14" operator="equal">
      <formula>"Улаан"</formula>
    </cfRule>
  </conditionalFormatting>
  <conditionalFormatting sqref="F34:G34">
    <cfRule type="cellIs" dxfId="320" priority="11" operator="equal">
      <formula>"Ногоон"</formula>
    </cfRule>
    <cfRule type="cellIs" dxfId="319" priority="12" operator="equal">
      <formula>"Улаан"</formula>
    </cfRule>
  </conditionalFormatting>
  <conditionalFormatting sqref="F46:G46">
    <cfRule type="cellIs" dxfId="318" priority="9" operator="equal">
      <formula>"Ногоон"</formula>
    </cfRule>
    <cfRule type="cellIs" dxfId="317" priority="10" operator="equal">
      <formula>"Улаан"</formula>
    </cfRule>
  </conditionalFormatting>
  <conditionalFormatting sqref="F60:G60">
    <cfRule type="cellIs" dxfId="316" priority="7" operator="equal">
      <formula>"Ногоон"</formula>
    </cfRule>
    <cfRule type="cellIs" dxfId="315" priority="8" operator="equal">
      <formula>"Улаан"</formula>
    </cfRule>
  </conditionalFormatting>
  <conditionalFormatting sqref="F72:G72">
    <cfRule type="cellIs" dxfId="314" priority="5" operator="equal">
      <formula>"Ногоон"</formula>
    </cfRule>
    <cfRule type="cellIs" dxfId="313" priority="6" operator="equal">
      <formula>"Улаан"</formula>
    </cfRule>
  </conditionalFormatting>
  <conditionalFormatting sqref="F84:G84">
    <cfRule type="cellIs" dxfId="312" priority="3" operator="equal">
      <formula>"Ногоон"</formula>
    </cfRule>
    <cfRule type="cellIs" dxfId="311" priority="4" operator="equal">
      <formula>"Улаан"</formula>
    </cfRule>
  </conditionalFormatting>
  <conditionalFormatting sqref="F96:G96">
    <cfRule type="cellIs" dxfId="310" priority="1" operator="equal">
      <formula>"Ногоон"</formula>
    </cfRule>
    <cfRule type="cellIs" dxfId="309" priority="2" operator="equal">
      <formula>"Улаан"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C6108-DE15-4301-A1F4-A33D18E23ACA}">
  <dimension ref="A1:V103"/>
  <sheetViews>
    <sheetView topLeftCell="J27" workbookViewId="0">
      <selection activeCell="N50" sqref="N50"/>
    </sheetView>
  </sheetViews>
  <sheetFormatPr defaultRowHeight="15"/>
  <cols>
    <col min="14" max="14" width="9.7109375" bestFit="1" customWidth="1"/>
  </cols>
  <sheetData>
    <row r="1" spans="1:22">
      <c r="A1" s="77">
        <v>204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</row>
    <row r="2" spans="1:22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</row>
    <row r="3" spans="1:22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</row>
    <row r="4" spans="1:22">
      <c r="A4" s="98">
        <v>1</v>
      </c>
      <c r="B4" s="8" t="str">
        <f>INT((ROW()-4)/4)+1 &amp; TEXT(MOD(ROW()-4,4)+1,"00")</f>
        <v>101</v>
      </c>
      <c r="C4" s="9">
        <v>1</v>
      </c>
      <c r="D4" s="9">
        <v>2</v>
      </c>
      <c r="E4" s="9">
        <v>3</v>
      </c>
      <c r="F4" s="11">
        <v>4</v>
      </c>
      <c r="G4" s="9">
        <v>17</v>
      </c>
      <c r="H4" s="9">
        <v>18</v>
      </c>
      <c r="I4" s="10">
        <v>19</v>
      </c>
      <c r="J4" s="9">
        <v>20</v>
      </c>
      <c r="K4" s="9">
        <v>21</v>
      </c>
      <c r="L4" s="91" t="s">
        <v>9</v>
      </c>
      <c r="N4" s="92">
        <v>46000</v>
      </c>
      <c r="O4" s="12" t="s">
        <v>10</v>
      </c>
      <c r="P4" s="13">
        <f>SUM(P5:P7)</f>
        <v>525</v>
      </c>
      <c r="Q4" s="73">
        <v>1</v>
      </c>
      <c r="S4" s="92" t="s">
        <v>9</v>
      </c>
      <c r="T4" s="12" t="s">
        <v>10</v>
      </c>
      <c r="U4" s="13">
        <f>SUM(U5:U7)</f>
        <v>63</v>
      </c>
      <c r="V4" s="73">
        <v>1</v>
      </c>
    </row>
    <row r="5" spans="1:22">
      <c r="A5" s="106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11">
        <v>7</v>
      </c>
      <c r="F5" s="9">
        <v>8</v>
      </c>
      <c r="G5" s="82"/>
      <c r="H5" s="83"/>
      <c r="I5" s="83"/>
      <c r="J5" s="83"/>
      <c r="K5" s="84"/>
      <c r="L5" s="91"/>
      <c r="N5" s="93"/>
      <c r="O5" s="14" t="s">
        <v>11</v>
      </c>
      <c r="P5" s="13" cm="1">
        <f t="array" ref="P5">CountByColor(C4:K103, O5)</f>
        <v>23</v>
      </c>
      <c r="Q5" s="74">
        <v>4.3799999999999999E-2</v>
      </c>
      <c r="S5" s="93"/>
      <c r="T5" s="14" t="s">
        <v>11</v>
      </c>
      <c r="U5" s="13" cm="1">
        <f t="array" ref="U5">CountByColor(C4:K15, T5)</f>
        <v>3</v>
      </c>
      <c r="V5" s="74">
        <v>4.8599999999999997E-2</v>
      </c>
    </row>
    <row r="6" spans="1:22">
      <c r="A6" s="106"/>
      <c r="B6" s="8" t="str">
        <f t="shared" si="0"/>
        <v>103</v>
      </c>
      <c r="C6" s="9">
        <v>9</v>
      </c>
      <c r="D6" s="9">
        <v>10</v>
      </c>
      <c r="E6" s="9">
        <v>11</v>
      </c>
      <c r="F6" s="9">
        <v>12</v>
      </c>
      <c r="G6" s="107"/>
      <c r="H6" s="108"/>
      <c r="I6" s="108"/>
      <c r="J6" s="108"/>
      <c r="K6" s="109"/>
      <c r="L6" s="91"/>
      <c r="N6" s="93"/>
      <c r="O6" s="15" t="s">
        <v>12</v>
      </c>
      <c r="P6" s="13" cm="1">
        <f t="array" ref="P6">CountByColor(C4:K103, O6)</f>
        <v>9</v>
      </c>
      <c r="Q6" s="74">
        <v>1.7100000000000001E-2</v>
      </c>
      <c r="S6" s="93"/>
      <c r="T6" s="15" t="s">
        <v>12</v>
      </c>
      <c r="U6" s="13" cm="1">
        <f t="array" ref="U6">CountByColor(C4:K15, T6)</f>
        <v>1</v>
      </c>
      <c r="V6" s="74">
        <v>1.5900000000000001E-2</v>
      </c>
    </row>
    <row r="7" spans="1:22">
      <c r="A7" s="99"/>
      <c r="B7" s="8" t="str">
        <f t="shared" si="0"/>
        <v>104</v>
      </c>
      <c r="C7" s="9">
        <v>13</v>
      </c>
      <c r="D7" s="9">
        <v>14</v>
      </c>
      <c r="E7" s="9">
        <v>15</v>
      </c>
      <c r="F7" s="9">
        <v>16</v>
      </c>
      <c r="G7" s="85"/>
      <c r="H7" s="86"/>
      <c r="I7" s="86"/>
      <c r="J7" s="86"/>
      <c r="K7" s="87"/>
      <c r="L7" s="91"/>
      <c r="N7" s="94"/>
      <c r="O7" s="16" t="s">
        <v>13</v>
      </c>
      <c r="P7" s="13" cm="1">
        <f t="array" ref="P7">CountByColor(C4:K103, O7)</f>
        <v>493</v>
      </c>
      <c r="Q7" s="74">
        <v>0.93899999999999995</v>
      </c>
      <c r="S7" s="94"/>
      <c r="T7" s="16" t="s">
        <v>13</v>
      </c>
      <c r="U7" s="13" cm="1">
        <f t="array" ref="U7">CountByColor(C4:K15, T7)</f>
        <v>59</v>
      </c>
      <c r="V7" s="74">
        <v>0.9365</v>
      </c>
    </row>
    <row r="8" spans="1:22">
      <c r="A8" s="98">
        <v>2</v>
      </c>
      <c r="B8" s="8" t="str">
        <f t="shared" si="0"/>
        <v>201</v>
      </c>
      <c r="C8" s="9">
        <v>22</v>
      </c>
      <c r="D8" s="9">
        <v>23</v>
      </c>
      <c r="E8" s="9">
        <v>24</v>
      </c>
      <c r="F8" s="9">
        <v>25</v>
      </c>
      <c r="G8" s="9">
        <v>38</v>
      </c>
      <c r="H8" s="11">
        <v>39</v>
      </c>
      <c r="I8" s="9">
        <v>40</v>
      </c>
      <c r="J8" s="9">
        <v>41</v>
      </c>
      <c r="K8" s="9">
        <v>42</v>
      </c>
      <c r="L8" s="91"/>
      <c r="N8" s="21"/>
      <c r="T8" s="1"/>
      <c r="U8" s="1"/>
    </row>
    <row r="9" spans="1:22">
      <c r="A9" s="106"/>
      <c r="B9" s="8" t="str">
        <f t="shared" si="0"/>
        <v>202</v>
      </c>
      <c r="C9" s="9">
        <v>26</v>
      </c>
      <c r="D9" s="9">
        <v>27</v>
      </c>
      <c r="E9" s="9">
        <v>28</v>
      </c>
      <c r="F9" s="9">
        <v>29</v>
      </c>
      <c r="G9" s="82"/>
      <c r="H9" s="83"/>
      <c r="I9" s="83"/>
      <c r="J9" s="83"/>
      <c r="K9" s="84"/>
      <c r="L9" s="91"/>
      <c r="S9" s="92" t="s">
        <v>14</v>
      </c>
      <c r="T9" s="12" t="s">
        <v>10</v>
      </c>
      <c r="U9" s="13">
        <f>SUM(U10:U12)</f>
        <v>63</v>
      </c>
      <c r="V9" s="73">
        <v>1</v>
      </c>
    </row>
    <row r="10" spans="1:22">
      <c r="A10" s="106"/>
      <c r="B10" s="8" t="str">
        <f t="shared" si="0"/>
        <v>203</v>
      </c>
      <c r="C10" s="9">
        <v>30</v>
      </c>
      <c r="D10" s="9">
        <v>31</v>
      </c>
      <c r="E10" s="9">
        <v>32</v>
      </c>
      <c r="F10" s="9">
        <v>33</v>
      </c>
      <c r="G10" s="107"/>
      <c r="H10" s="108"/>
      <c r="I10" s="108"/>
      <c r="J10" s="108"/>
      <c r="K10" s="109"/>
      <c r="L10" s="91"/>
      <c r="S10" s="93"/>
      <c r="T10" s="14" t="s">
        <v>11</v>
      </c>
      <c r="U10" s="13" cm="1">
        <f t="array" ref="U10">CountByColor(C16:K27, T10)</f>
        <v>5</v>
      </c>
      <c r="V10" s="74">
        <v>7.9399999999999998E-2</v>
      </c>
    </row>
    <row r="11" spans="1:22">
      <c r="A11" s="99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85"/>
      <c r="H11" s="86"/>
      <c r="I11" s="86"/>
      <c r="J11" s="86"/>
      <c r="K11" s="87"/>
      <c r="L11" s="91"/>
      <c r="S11" s="93"/>
      <c r="T11" s="15" t="s">
        <v>12</v>
      </c>
      <c r="U11" s="13" cm="1">
        <f t="array" ref="U11">CountByColor(C16:K27, T11)</f>
        <v>0</v>
      </c>
      <c r="V11" s="73">
        <v>0</v>
      </c>
    </row>
    <row r="12" spans="1:22">
      <c r="A12" s="98">
        <v>3</v>
      </c>
      <c r="B12" s="8" t="str">
        <f t="shared" si="0"/>
        <v>301</v>
      </c>
      <c r="C12" s="9">
        <v>43</v>
      </c>
      <c r="D12" s="9">
        <v>44</v>
      </c>
      <c r="E12" s="9">
        <v>45</v>
      </c>
      <c r="F12" s="9">
        <v>46</v>
      </c>
      <c r="G12" s="9">
        <v>59</v>
      </c>
      <c r="H12" s="9">
        <v>60</v>
      </c>
      <c r="I12" s="9">
        <v>61</v>
      </c>
      <c r="J12" s="9">
        <v>62</v>
      </c>
      <c r="K12" s="9">
        <v>63</v>
      </c>
      <c r="L12" s="91"/>
      <c r="S12" s="94"/>
      <c r="T12" s="16" t="s">
        <v>13</v>
      </c>
      <c r="U12" s="13" cm="1">
        <f t="array" ref="U12">CountByColor(C16:K27, T12)</f>
        <v>58</v>
      </c>
      <c r="V12" s="74">
        <v>0.92059999999999997</v>
      </c>
    </row>
    <row r="13" spans="1:22">
      <c r="A13" s="106"/>
      <c r="B13" s="8" t="str">
        <f t="shared" si="0"/>
        <v>302</v>
      </c>
      <c r="C13" s="9">
        <v>47</v>
      </c>
      <c r="D13" s="9">
        <v>48</v>
      </c>
      <c r="E13" s="9">
        <v>49</v>
      </c>
      <c r="F13" s="9">
        <v>50</v>
      </c>
      <c r="G13" s="82"/>
      <c r="H13" s="83"/>
      <c r="I13" s="83"/>
      <c r="J13" s="83"/>
      <c r="K13" s="84"/>
      <c r="L13" s="91"/>
      <c r="S13" s="1"/>
    </row>
    <row r="14" spans="1:22">
      <c r="A14" s="106"/>
      <c r="B14" s="8" t="str">
        <f t="shared" si="0"/>
        <v>303</v>
      </c>
      <c r="C14" s="9">
        <v>51</v>
      </c>
      <c r="D14" s="9">
        <v>52</v>
      </c>
      <c r="E14" s="9">
        <v>53</v>
      </c>
      <c r="F14" s="9">
        <v>54</v>
      </c>
      <c r="G14" s="107"/>
      <c r="H14" s="108"/>
      <c r="I14" s="108"/>
      <c r="J14" s="108"/>
      <c r="K14" s="109"/>
      <c r="L14" s="91"/>
      <c r="S14" s="92" t="s">
        <v>15</v>
      </c>
      <c r="T14" s="12" t="s">
        <v>10</v>
      </c>
      <c r="U14" s="13">
        <f>SUM(U15:U17)</f>
        <v>63</v>
      </c>
      <c r="V14" s="73">
        <v>1</v>
      </c>
    </row>
    <row r="15" spans="1:22">
      <c r="A15" s="99"/>
      <c r="B15" s="8" t="str">
        <f t="shared" si="0"/>
        <v>304</v>
      </c>
      <c r="C15" s="9">
        <v>55</v>
      </c>
      <c r="D15" s="9">
        <v>56</v>
      </c>
      <c r="E15" s="9">
        <v>57</v>
      </c>
      <c r="F15" s="9">
        <v>58</v>
      </c>
      <c r="G15" s="85"/>
      <c r="H15" s="86"/>
      <c r="I15" s="86"/>
      <c r="J15" s="86"/>
      <c r="K15" s="87"/>
      <c r="L15" s="91"/>
      <c r="S15" s="93"/>
      <c r="T15" s="14" t="s">
        <v>11</v>
      </c>
      <c r="U15" s="13" cm="1">
        <f t="array" ref="U15">CountByColor(C28:K39, T15)</f>
        <v>2</v>
      </c>
      <c r="V15" s="74">
        <v>3.1699999999999999E-2</v>
      </c>
    </row>
    <row r="16" spans="1:22">
      <c r="A16" s="98">
        <v>4</v>
      </c>
      <c r="B16" s="8" t="str">
        <f t="shared" si="0"/>
        <v>401</v>
      </c>
      <c r="C16" s="11">
        <v>1</v>
      </c>
      <c r="D16" s="9">
        <v>2</v>
      </c>
      <c r="E16" s="9">
        <v>3</v>
      </c>
      <c r="F16" s="9">
        <v>4</v>
      </c>
      <c r="G16" s="9">
        <v>17</v>
      </c>
      <c r="H16" s="9">
        <v>18</v>
      </c>
      <c r="I16" s="9">
        <v>19</v>
      </c>
      <c r="J16" s="9">
        <v>20</v>
      </c>
      <c r="K16" s="9">
        <v>21</v>
      </c>
      <c r="L16" s="91" t="s">
        <v>14</v>
      </c>
      <c r="S16" s="93"/>
      <c r="T16" s="15" t="s">
        <v>12</v>
      </c>
      <c r="U16" s="13" cm="1">
        <f t="array" ref="U16">CountByColor(C28:K39, T16)</f>
        <v>1</v>
      </c>
      <c r="V16" s="74">
        <v>1.5900000000000001E-2</v>
      </c>
    </row>
    <row r="17" spans="1:22">
      <c r="A17" s="106"/>
      <c r="B17" s="8" t="str">
        <f t="shared" si="0"/>
        <v>402</v>
      </c>
      <c r="C17" s="9">
        <v>5</v>
      </c>
      <c r="D17" s="9">
        <v>6</v>
      </c>
      <c r="E17" s="9">
        <v>7</v>
      </c>
      <c r="F17" s="9">
        <v>8</v>
      </c>
      <c r="G17" s="82"/>
      <c r="H17" s="83"/>
      <c r="I17" s="83"/>
      <c r="J17" s="83"/>
      <c r="K17" s="84"/>
      <c r="L17" s="91"/>
      <c r="S17" s="94"/>
      <c r="T17" s="16" t="s">
        <v>13</v>
      </c>
      <c r="U17" s="13" cm="1">
        <f t="array" ref="U17">CountByColor(C28:K39, T17)</f>
        <v>60</v>
      </c>
      <c r="V17" s="74">
        <v>0.95240000000000002</v>
      </c>
    </row>
    <row r="18" spans="1:22">
      <c r="A18" s="106"/>
      <c r="B18" s="8" t="str">
        <f t="shared" si="0"/>
        <v>403</v>
      </c>
      <c r="C18" s="9">
        <v>9</v>
      </c>
      <c r="D18" s="9">
        <v>10</v>
      </c>
      <c r="E18" s="9">
        <v>11</v>
      </c>
      <c r="F18" s="9">
        <v>12</v>
      </c>
      <c r="G18" s="107"/>
      <c r="H18" s="108"/>
      <c r="I18" s="108"/>
      <c r="J18" s="108"/>
      <c r="K18" s="109"/>
      <c r="L18" s="91"/>
      <c r="S18" s="1"/>
    </row>
    <row r="19" spans="1:22">
      <c r="A19" s="99"/>
      <c r="B19" s="8" t="str">
        <f t="shared" si="0"/>
        <v>404</v>
      </c>
      <c r="C19" s="9">
        <v>13</v>
      </c>
      <c r="D19" s="9">
        <v>14</v>
      </c>
      <c r="E19" s="9">
        <v>15</v>
      </c>
      <c r="F19" s="9">
        <v>16</v>
      </c>
      <c r="G19" s="85"/>
      <c r="H19" s="86"/>
      <c r="I19" s="86"/>
      <c r="J19" s="86"/>
      <c r="K19" s="87"/>
      <c r="L19" s="91"/>
      <c r="S19" s="92" t="s">
        <v>16</v>
      </c>
      <c r="T19" s="12" t="s">
        <v>10</v>
      </c>
      <c r="U19" s="13">
        <f>SUM(U20:U22)</f>
        <v>63</v>
      </c>
      <c r="V19" s="73">
        <v>1</v>
      </c>
    </row>
    <row r="20" spans="1:22">
      <c r="A20" s="98">
        <v>5</v>
      </c>
      <c r="B20" s="8" t="str">
        <f t="shared" si="0"/>
        <v>501</v>
      </c>
      <c r="C20" s="9">
        <v>22</v>
      </c>
      <c r="D20" s="9">
        <v>23</v>
      </c>
      <c r="E20" s="9">
        <v>24</v>
      </c>
      <c r="F20" s="9">
        <v>25</v>
      </c>
      <c r="G20" s="9">
        <v>38</v>
      </c>
      <c r="H20" s="9">
        <v>39</v>
      </c>
      <c r="I20" s="9">
        <v>40</v>
      </c>
      <c r="J20" s="9">
        <v>41</v>
      </c>
      <c r="K20" s="9">
        <v>42</v>
      </c>
      <c r="L20" s="91"/>
      <c r="S20" s="93"/>
      <c r="T20" s="14" t="s">
        <v>11</v>
      </c>
      <c r="U20" s="13" cm="1">
        <f t="array" ref="U20">CountByColor(C40:K51, T20)</f>
        <v>3</v>
      </c>
      <c r="V20" s="74">
        <v>4.7600000000000003E-2</v>
      </c>
    </row>
    <row r="21" spans="1:22">
      <c r="A21" s="106"/>
      <c r="B21" s="8" t="str">
        <f t="shared" si="0"/>
        <v>502</v>
      </c>
      <c r="C21" s="9">
        <v>26</v>
      </c>
      <c r="D21" s="9">
        <v>27</v>
      </c>
      <c r="E21" s="9">
        <v>28</v>
      </c>
      <c r="F21" s="9">
        <v>29</v>
      </c>
      <c r="G21" s="82"/>
      <c r="H21" s="83"/>
      <c r="I21" s="83"/>
      <c r="J21" s="83"/>
      <c r="K21" s="84"/>
      <c r="L21" s="91"/>
      <c r="R21" s="1"/>
      <c r="S21" s="93"/>
      <c r="T21" s="15" t="s">
        <v>12</v>
      </c>
      <c r="U21" s="13" cm="1">
        <f t="array" ref="U21">CountByColor(C40:K51, T21)</f>
        <v>1</v>
      </c>
      <c r="V21" s="74">
        <v>1.5900000000000001E-2</v>
      </c>
    </row>
    <row r="22" spans="1:22">
      <c r="A22" s="106"/>
      <c r="B22" s="8" t="str">
        <f t="shared" si="0"/>
        <v>503</v>
      </c>
      <c r="C22" s="9">
        <v>30</v>
      </c>
      <c r="D22" s="9">
        <v>31</v>
      </c>
      <c r="E22" s="9">
        <v>32</v>
      </c>
      <c r="F22" s="9">
        <v>33</v>
      </c>
      <c r="G22" s="107"/>
      <c r="H22" s="108"/>
      <c r="I22" s="108"/>
      <c r="J22" s="108"/>
      <c r="K22" s="109"/>
      <c r="L22" s="91"/>
      <c r="S22" s="94"/>
      <c r="T22" s="16" t="s">
        <v>13</v>
      </c>
      <c r="U22" s="13" cm="1">
        <f t="array" ref="U22">CountByColor(C40:K51, T22)</f>
        <v>59</v>
      </c>
      <c r="V22" s="74">
        <v>0.9365</v>
      </c>
    </row>
    <row r="23" spans="1:22">
      <c r="A23" s="99"/>
      <c r="B23" s="8" t="str">
        <f t="shared" si="0"/>
        <v>504</v>
      </c>
      <c r="C23" s="9">
        <v>34</v>
      </c>
      <c r="D23" s="9">
        <v>35</v>
      </c>
      <c r="E23" s="9">
        <v>36</v>
      </c>
      <c r="F23" s="9">
        <v>37</v>
      </c>
      <c r="G23" s="85"/>
      <c r="H23" s="86"/>
      <c r="I23" s="86"/>
      <c r="J23" s="86"/>
      <c r="K23" s="87"/>
      <c r="L23" s="91"/>
      <c r="S23" s="1"/>
    </row>
    <row r="24" spans="1:22">
      <c r="A24" s="98">
        <v>6</v>
      </c>
      <c r="B24" s="8" t="str">
        <f t="shared" si="0"/>
        <v>601</v>
      </c>
      <c r="C24" s="9">
        <v>43</v>
      </c>
      <c r="D24" s="11">
        <v>44</v>
      </c>
      <c r="E24" s="11">
        <v>45</v>
      </c>
      <c r="F24" s="9">
        <v>46</v>
      </c>
      <c r="G24" s="9">
        <v>59</v>
      </c>
      <c r="H24" s="9">
        <v>60</v>
      </c>
      <c r="I24" s="9">
        <v>61</v>
      </c>
      <c r="J24" s="9">
        <v>62</v>
      </c>
      <c r="K24" s="9">
        <v>63</v>
      </c>
      <c r="L24" s="91"/>
      <c r="S24" s="92" t="s">
        <v>19</v>
      </c>
      <c r="T24" s="12" t="s">
        <v>10</v>
      </c>
      <c r="U24" s="13">
        <f>SUM(U25:U27)</f>
        <v>63</v>
      </c>
      <c r="V24" s="73">
        <v>1</v>
      </c>
    </row>
    <row r="25" spans="1:22">
      <c r="A25" s="106"/>
      <c r="B25" s="8" t="str">
        <f t="shared" si="0"/>
        <v>602</v>
      </c>
      <c r="C25" s="9">
        <v>47</v>
      </c>
      <c r="D25" s="9">
        <v>48</v>
      </c>
      <c r="E25" s="9">
        <v>49</v>
      </c>
      <c r="F25" s="9">
        <v>50</v>
      </c>
      <c r="G25" s="82"/>
      <c r="H25" s="83"/>
      <c r="I25" s="83"/>
      <c r="J25" s="83"/>
      <c r="K25" s="84"/>
      <c r="L25" s="91"/>
      <c r="S25" s="93"/>
      <c r="T25" s="14" t="s">
        <v>11</v>
      </c>
      <c r="U25" s="13" cm="1">
        <f t="array" ref="U25">CountByColor(C52:K63, T25)</f>
        <v>0</v>
      </c>
      <c r="V25" s="73">
        <v>0</v>
      </c>
    </row>
    <row r="26" spans="1:22">
      <c r="A26" s="106"/>
      <c r="B26" s="8" t="str">
        <f t="shared" si="0"/>
        <v>603</v>
      </c>
      <c r="C26" s="9">
        <v>51</v>
      </c>
      <c r="D26" s="9">
        <v>52</v>
      </c>
      <c r="E26" s="11">
        <v>53</v>
      </c>
      <c r="F26" s="9">
        <v>54</v>
      </c>
      <c r="G26" s="107"/>
      <c r="H26" s="108"/>
      <c r="I26" s="108"/>
      <c r="J26" s="108"/>
      <c r="K26" s="109"/>
      <c r="L26" s="91"/>
      <c r="S26" s="93"/>
      <c r="T26" s="15" t="s">
        <v>12</v>
      </c>
      <c r="U26" s="13" cm="1">
        <f t="array" ref="U26">CountByColor(C52:K63, T26)</f>
        <v>0</v>
      </c>
      <c r="V26" s="73">
        <v>0</v>
      </c>
    </row>
    <row r="27" spans="1:22">
      <c r="A27" s="99"/>
      <c r="B27" s="8" t="str">
        <f t="shared" si="0"/>
        <v>604</v>
      </c>
      <c r="C27" s="9">
        <v>55</v>
      </c>
      <c r="D27" s="9">
        <v>56</v>
      </c>
      <c r="E27" s="9">
        <v>57</v>
      </c>
      <c r="F27" s="11">
        <v>58</v>
      </c>
      <c r="G27" s="85"/>
      <c r="H27" s="86"/>
      <c r="I27" s="86"/>
      <c r="J27" s="86"/>
      <c r="K27" s="87"/>
      <c r="L27" s="91"/>
      <c r="S27" s="94"/>
      <c r="T27" s="16" t="s">
        <v>13</v>
      </c>
      <c r="U27" s="13" cm="1">
        <f t="array" ref="U27">CountByColor(C52:K63, T27)</f>
        <v>63</v>
      </c>
      <c r="V27" s="73">
        <v>1</v>
      </c>
    </row>
    <row r="28" spans="1:22">
      <c r="A28" s="98">
        <v>7</v>
      </c>
      <c r="B28" s="8" t="str">
        <f t="shared" si="0"/>
        <v>701</v>
      </c>
      <c r="C28" s="9">
        <v>1</v>
      </c>
      <c r="D28" s="9">
        <v>2</v>
      </c>
      <c r="E28" s="9">
        <v>3</v>
      </c>
      <c r="F28" s="9">
        <v>4</v>
      </c>
      <c r="G28" s="11">
        <v>17</v>
      </c>
      <c r="H28" s="9">
        <v>18</v>
      </c>
      <c r="I28" s="9">
        <v>19</v>
      </c>
      <c r="J28" s="9">
        <v>20</v>
      </c>
      <c r="K28" s="9">
        <v>21</v>
      </c>
      <c r="L28" s="91" t="s">
        <v>15</v>
      </c>
      <c r="S28" s="1"/>
    </row>
    <row r="29" spans="1:22">
      <c r="A29" s="106"/>
      <c r="B29" s="8" t="str">
        <f t="shared" si="0"/>
        <v>702</v>
      </c>
      <c r="C29" s="9">
        <v>5</v>
      </c>
      <c r="D29" s="9">
        <v>6</v>
      </c>
      <c r="E29" s="9">
        <v>7</v>
      </c>
      <c r="F29" s="9">
        <v>8</v>
      </c>
      <c r="G29" s="82"/>
      <c r="H29" s="83"/>
      <c r="I29" s="83"/>
      <c r="J29" s="83"/>
      <c r="K29" s="84"/>
      <c r="L29" s="91"/>
      <c r="S29" s="92" t="s">
        <v>20</v>
      </c>
      <c r="T29" s="12" t="s">
        <v>10</v>
      </c>
      <c r="U29" s="13">
        <f>SUM(U30:U32)</f>
        <v>63</v>
      </c>
      <c r="V29" s="73">
        <v>1</v>
      </c>
    </row>
    <row r="30" spans="1:22">
      <c r="A30" s="106"/>
      <c r="B30" s="8" t="str">
        <f t="shared" si="0"/>
        <v>703</v>
      </c>
      <c r="C30" s="9">
        <v>9</v>
      </c>
      <c r="D30" s="9">
        <v>10</v>
      </c>
      <c r="E30" s="10">
        <v>11</v>
      </c>
      <c r="F30" s="11">
        <v>12</v>
      </c>
      <c r="G30" s="107"/>
      <c r="H30" s="108"/>
      <c r="I30" s="108"/>
      <c r="J30" s="108"/>
      <c r="K30" s="109"/>
      <c r="L30" s="91"/>
      <c r="S30" s="93"/>
      <c r="T30" s="14" t="s">
        <v>11</v>
      </c>
      <c r="U30" s="13" cm="1">
        <f t="array" ref="U30">CountByColor(C64:K75, T30)</f>
        <v>3</v>
      </c>
      <c r="V30" s="74">
        <v>4.7600000000000003E-2</v>
      </c>
    </row>
    <row r="31" spans="1:22">
      <c r="A31" s="99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85"/>
      <c r="H31" s="86"/>
      <c r="I31" s="86"/>
      <c r="J31" s="86"/>
      <c r="K31" s="87"/>
      <c r="L31" s="91"/>
      <c r="O31" s="6"/>
      <c r="S31" s="93"/>
      <c r="T31" s="15" t="s">
        <v>12</v>
      </c>
      <c r="U31" s="13" cm="1">
        <f t="array" ref="U31">CountByColor(C64:K75, T31)</f>
        <v>5</v>
      </c>
      <c r="V31" s="74">
        <v>7.9399999999999998E-2</v>
      </c>
    </row>
    <row r="32" spans="1:22">
      <c r="A32" s="98">
        <v>8</v>
      </c>
      <c r="B32" s="8" t="str">
        <f t="shared" si="0"/>
        <v>801</v>
      </c>
      <c r="C32" s="9">
        <v>22</v>
      </c>
      <c r="D32" s="9">
        <v>23</v>
      </c>
      <c r="E32" s="9">
        <v>24</v>
      </c>
      <c r="F32" s="9">
        <v>25</v>
      </c>
      <c r="G32" s="9">
        <v>38</v>
      </c>
      <c r="H32" s="9">
        <v>39</v>
      </c>
      <c r="I32" s="9">
        <v>40</v>
      </c>
      <c r="J32" s="9">
        <v>41</v>
      </c>
      <c r="K32" s="9">
        <v>42</v>
      </c>
      <c r="L32" s="91"/>
      <c r="O32" s="6"/>
      <c r="S32" s="94"/>
      <c r="T32" s="16" t="s">
        <v>13</v>
      </c>
      <c r="U32" s="13" cm="1">
        <f t="array" ref="U32">CountByColor(C64:K75, T32)</f>
        <v>55</v>
      </c>
      <c r="V32" s="74">
        <v>0.873</v>
      </c>
    </row>
    <row r="33" spans="1:22">
      <c r="A33" s="106"/>
      <c r="B33" s="8" t="str">
        <f t="shared" si="0"/>
        <v>802</v>
      </c>
      <c r="C33" s="9">
        <v>26</v>
      </c>
      <c r="D33" s="9">
        <v>27</v>
      </c>
      <c r="E33" s="9">
        <v>28</v>
      </c>
      <c r="F33" s="9">
        <v>29</v>
      </c>
      <c r="G33" s="82"/>
      <c r="H33" s="83"/>
      <c r="I33" s="83"/>
      <c r="J33" s="83"/>
      <c r="K33" s="84"/>
      <c r="L33" s="91"/>
      <c r="O33" s="6"/>
      <c r="S33" s="1"/>
    </row>
    <row r="34" spans="1:22">
      <c r="A34" s="106"/>
      <c r="B34" s="8" t="str">
        <f t="shared" si="0"/>
        <v>803</v>
      </c>
      <c r="C34" s="9">
        <v>30</v>
      </c>
      <c r="D34" s="9">
        <v>31</v>
      </c>
      <c r="E34" s="9">
        <v>32</v>
      </c>
      <c r="F34" s="9">
        <v>33</v>
      </c>
      <c r="G34" s="107"/>
      <c r="H34" s="108"/>
      <c r="I34" s="108"/>
      <c r="J34" s="108"/>
      <c r="K34" s="109"/>
      <c r="L34" s="91"/>
      <c r="O34" s="6"/>
      <c r="S34" s="92" t="s">
        <v>21</v>
      </c>
      <c r="T34" s="12" t="s">
        <v>10</v>
      </c>
      <c r="U34" s="13">
        <f>SUM(U35:U37)</f>
        <v>84</v>
      </c>
      <c r="V34" s="73">
        <v>1</v>
      </c>
    </row>
    <row r="35" spans="1:22">
      <c r="A35" s="99"/>
      <c r="B35" s="8" t="str">
        <f t="shared" si="0"/>
        <v>804</v>
      </c>
      <c r="C35" s="9">
        <v>34</v>
      </c>
      <c r="D35" s="9">
        <v>35</v>
      </c>
      <c r="E35" s="9">
        <v>36</v>
      </c>
      <c r="F35" s="9">
        <v>37</v>
      </c>
      <c r="G35" s="85"/>
      <c r="H35" s="86"/>
      <c r="I35" s="86"/>
      <c r="J35" s="86"/>
      <c r="K35" s="87"/>
      <c r="L35" s="91"/>
      <c r="O35" s="6"/>
      <c r="S35" s="93"/>
      <c r="T35" s="14" t="s">
        <v>11</v>
      </c>
      <c r="U35" s="13" cm="1">
        <f t="array" ref="U35">CountByColor(C76:K91, T35)</f>
        <v>3</v>
      </c>
      <c r="V35" s="74">
        <v>3.5700000000000003E-2</v>
      </c>
    </row>
    <row r="36" spans="1:22">
      <c r="A36" s="98">
        <v>9</v>
      </c>
      <c r="B36" s="8" t="str">
        <f t="shared" si="0"/>
        <v>901</v>
      </c>
      <c r="C36" s="9">
        <v>43</v>
      </c>
      <c r="D36" s="9">
        <v>44</v>
      </c>
      <c r="E36" s="9">
        <v>45</v>
      </c>
      <c r="F36" s="9">
        <v>46</v>
      </c>
      <c r="G36" s="9">
        <v>59</v>
      </c>
      <c r="H36" s="9">
        <v>60</v>
      </c>
      <c r="I36" s="9">
        <v>61</v>
      </c>
      <c r="J36" s="9">
        <v>62</v>
      </c>
      <c r="K36" s="9">
        <v>63</v>
      </c>
      <c r="L36" s="91"/>
      <c r="N36" s="1"/>
      <c r="O36" s="6"/>
      <c r="S36" s="93"/>
      <c r="T36" s="15" t="s">
        <v>12</v>
      </c>
      <c r="U36" s="13" cm="1">
        <f t="array" ref="U36">CountByColor(C76:L91, T36)</f>
        <v>0</v>
      </c>
      <c r="V36" s="73">
        <v>0</v>
      </c>
    </row>
    <row r="37" spans="1:22">
      <c r="A37" s="106"/>
      <c r="B37" s="8" t="str">
        <f t="shared" si="0"/>
        <v>902</v>
      </c>
      <c r="C37" s="9">
        <v>47</v>
      </c>
      <c r="D37" s="9">
        <v>48</v>
      </c>
      <c r="E37" s="9">
        <v>49</v>
      </c>
      <c r="F37" s="9">
        <v>50</v>
      </c>
      <c r="G37" s="82"/>
      <c r="H37" s="83"/>
      <c r="I37" s="83"/>
      <c r="J37" s="83"/>
      <c r="K37" s="84"/>
      <c r="L37" s="91"/>
      <c r="N37" s="1"/>
      <c r="O37" s="6"/>
      <c r="S37" s="94"/>
      <c r="T37" s="16" t="s">
        <v>13</v>
      </c>
      <c r="U37" s="13" cm="1">
        <f t="array" ref="U37">CountByColor(C76:K91, T37)</f>
        <v>81</v>
      </c>
      <c r="V37" s="74">
        <v>0.96430000000000005</v>
      </c>
    </row>
    <row r="38" spans="1:22">
      <c r="A38" s="106"/>
      <c r="B38" s="8" t="str">
        <f t="shared" si="0"/>
        <v>903</v>
      </c>
      <c r="C38" s="9">
        <v>51</v>
      </c>
      <c r="D38" s="9">
        <v>52</v>
      </c>
      <c r="E38" s="9">
        <v>53</v>
      </c>
      <c r="F38" s="9">
        <v>54</v>
      </c>
      <c r="G38" s="107"/>
      <c r="H38" s="108"/>
      <c r="I38" s="108"/>
      <c r="J38" s="108"/>
      <c r="K38" s="109"/>
      <c r="L38" s="91"/>
      <c r="N38" s="1"/>
      <c r="S38" s="1"/>
    </row>
    <row r="39" spans="1:22">
      <c r="A39" s="99"/>
      <c r="B39" s="8" t="str">
        <f t="shared" si="0"/>
        <v>904</v>
      </c>
      <c r="C39" s="9">
        <v>55</v>
      </c>
      <c r="D39" s="9">
        <v>56</v>
      </c>
      <c r="E39" s="9">
        <v>57</v>
      </c>
      <c r="F39" s="9">
        <v>58</v>
      </c>
      <c r="G39" s="85"/>
      <c r="H39" s="86"/>
      <c r="I39" s="86"/>
      <c r="J39" s="86"/>
      <c r="K39" s="87"/>
      <c r="L39" s="91"/>
      <c r="N39" s="17"/>
      <c r="S39" s="92" t="s">
        <v>22</v>
      </c>
      <c r="T39" s="12" t="s">
        <v>10</v>
      </c>
      <c r="U39" s="13">
        <f>SUM(U40:U42)</f>
        <v>63</v>
      </c>
      <c r="V39" s="73">
        <v>1</v>
      </c>
    </row>
    <row r="40" spans="1:22">
      <c r="A40" s="98">
        <v>10</v>
      </c>
      <c r="B40" s="8" t="str">
        <f t="shared" si="0"/>
        <v>1001</v>
      </c>
      <c r="C40" s="9">
        <v>1</v>
      </c>
      <c r="D40" s="9">
        <v>2</v>
      </c>
      <c r="E40" s="9">
        <v>3</v>
      </c>
      <c r="F40" s="9">
        <v>4</v>
      </c>
      <c r="G40" s="9">
        <v>17</v>
      </c>
      <c r="H40" s="9">
        <v>18</v>
      </c>
      <c r="I40" s="9">
        <v>19</v>
      </c>
      <c r="J40" s="9">
        <v>20</v>
      </c>
      <c r="K40" s="9">
        <v>21</v>
      </c>
      <c r="L40" s="91" t="s">
        <v>16</v>
      </c>
      <c r="M40" s="1"/>
      <c r="N40" s="6"/>
      <c r="R40" s="1"/>
      <c r="S40" s="93"/>
      <c r="T40" s="14" t="s">
        <v>11</v>
      </c>
      <c r="U40" s="13" cm="1">
        <f t="array" ref="U40">CountByColor(C92:L103, T40)</f>
        <v>4</v>
      </c>
      <c r="V40" s="74">
        <v>6.3500000000000001E-2</v>
      </c>
    </row>
    <row r="41" spans="1:22">
      <c r="A41" s="106"/>
      <c r="B41" s="8" t="str">
        <f t="shared" si="0"/>
        <v>1002</v>
      </c>
      <c r="C41" s="9">
        <v>5</v>
      </c>
      <c r="D41" s="9">
        <v>6</v>
      </c>
      <c r="E41" s="9">
        <v>7</v>
      </c>
      <c r="F41" s="9">
        <v>8</v>
      </c>
      <c r="G41" s="82"/>
      <c r="H41" s="83"/>
      <c r="I41" s="83"/>
      <c r="J41" s="83"/>
      <c r="K41" s="84"/>
      <c r="L41" s="91"/>
      <c r="M41" s="1"/>
      <c r="N41" s="6"/>
      <c r="R41" s="1"/>
      <c r="S41" s="93"/>
      <c r="T41" s="15" t="s">
        <v>12</v>
      </c>
      <c r="U41" s="13" cm="1">
        <f t="array" ref="U41">CountByColor(C92:K103, T41)</f>
        <v>1</v>
      </c>
      <c r="V41" s="74">
        <v>1.5900000000000001E-2</v>
      </c>
    </row>
    <row r="42" spans="1:22">
      <c r="A42" s="106"/>
      <c r="B42" s="8" t="str">
        <f t="shared" si="0"/>
        <v>1003</v>
      </c>
      <c r="C42" s="9">
        <v>9</v>
      </c>
      <c r="D42" s="9">
        <v>10</v>
      </c>
      <c r="E42" s="9">
        <v>11</v>
      </c>
      <c r="F42" s="9">
        <v>12</v>
      </c>
      <c r="G42" s="107"/>
      <c r="H42" s="108"/>
      <c r="I42" s="108"/>
      <c r="J42" s="108"/>
      <c r="K42" s="109"/>
      <c r="L42" s="91"/>
      <c r="M42" s="1"/>
      <c r="N42" s="6"/>
      <c r="R42" s="1"/>
      <c r="S42" s="94"/>
      <c r="T42" s="16" t="s">
        <v>13</v>
      </c>
      <c r="U42" s="13" cm="1">
        <f t="array" ref="U42">CountByColor(C92:K103, T42)</f>
        <v>58</v>
      </c>
      <c r="V42" s="74">
        <v>0.92059999999999997</v>
      </c>
    </row>
    <row r="43" spans="1:22">
      <c r="A43" s="99"/>
      <c r="B43" s="8" t="str">
        <f t="shared" si="0"/>
        <v>1004</v>
      </c>
      <c r="C43" s="9">
        <v>13</v>
      </c>
      <c r="D43" s="9">
        <v>14</v>
      </c>
      <c r="E43" s="9">
        <v>15</v>
      </c>
      <c r="F43" s="9">
        <v>16</v>
      </c>
      <c r="G43" s="85"/>
      <c r="H43" s="86"/>
      <c r="I43" s="86"/>
      <c r="J43" s="86"/>
      <c r="K43" s="87"/>
      <c r="L43" s="91"/>
      <c r="M43" s="1"/>
      <c r="N43" s="6"/>
      <c r="R43" s="1"/>
    </row>
    <row r="44" spans="1:22">
      <c r="A44" s="98">
        <v>11</v>
      </c>
      <c r="B44" s="8" t="str">
        <f t="shared" si="0"/>
        <v>1101</v>
      </c>
      <c r="C44" s="11">
        <v>22</v>
      </c>
      <c r="D44" s="9">
        <v>23</v>
      </c>
      <c r="E44" s="9">
        <v>24</v>
      </c>
      <c r="F44" s="9">
        <v>25</v>
      </c>
      <c r="G44" s="9">
        <v>38</v>
      </c>
      <c r="H44" s="9">
        <v>39</v>
      </c>
      <c r="I44" s="9">
        <v>40</v>
      </c>
      <c r="J44" s="9">
        <v>41</v>
      </c>
      <c r="K44" s="9">
        <v>42</v>
      </c>
      <c r="L44" s="91"/>
      <c r="M44" s="1"/>
      <c r="N44" s="6"/>
      <c r="R44" s="1"/>
    </row>
    <row r="45" spans="1:22">
      <c r="A45" s="106"/>
      <c r="B45" s="8" t="str">
        <f t="shared" si="0"/>
        <v>1102</v>
      </c>
      <c r="C45" s="9">
        <v>26</v>
      </c>
      <c r="D45" s="11">
        <v>27</v>
      </c>
      <c r="E45" s="10">
        <v>28</v>
      </c>
      <c r="F45" s="9">
        <v>29</v>
      </c>
      <c r="G45" s="82"/>
      <c r="H45" s="83"/>
      <c r="I45" s="83"/>
      <c r="J45" s="83"/>
      <c r="K45" s="84"/>
      <c r="L45" s="91"/>
      <c r="M45" s="1"/>
      <c r="N45" s="6"/>
      <c r="R45" s="1"/>
    </row>
    <row r="46" spans="1:22">
      <c r="A46" s="106"/>
      <c r="B46" s="8" t="str">
        <f t="shared" si="0"/>
        <v>1103</v>
      </c>
      <c r="C46" s="9">
        <v>30</v>
      </c>
      <c r="D46" s="9">
        <v>31</v>
      </c>
      <c r="E46" s="9">
        <v>32</v>
      </c>
      <c r="F46" s="9">
        <v>33</v>
      </c>
      <c r="G46" s="107"/>
      <c r="H46" s="108"/>
      <c r="I46" s="108"/>
      <c r="J46" s="108"/>
      <c r="K46" s="109"/>
      <c r="L46" s="91"/>
      <c r="M46" s="1"/>
      <c r="N46" s="6"/>
      <c r="R46" s="1"/>
    </row>
    <row r="47" spans="1:22">
      <c r="A47" s="99"/>
      <c r="B47" s="8" t="str">
        <f t="shared" si="0"/>
        <v>1104</v>
      </c>
      <c r="C47" s="9">
        <v>34</v>
      </c>
      <c r="D47" s="9">
        <v>35</v>
      </c>
      <c r="E47" s="9">
        <v>36</v>
      </c>
      <c r="F47" s="9">
        <v>37</v>
      </c>
      <c r="G47" s="85"/>
      <c r="H47" s="86"/>
      <c r="I47" s="86"/>
      <c r="J47" s="86"/>
      <c r="K47" s="87"/>
      <c r="L47" s="91"/>
      <c r="M47" s="1"/>
      <c r="N47" s="6"/>
      <c r="R47" s="1"/>
    </row>
    <row r="48" spans="1:22">
      <c r="A48" s="80">
        <v>12</v>
      </c>
      <c r="B48" s="8" t="str">
        <f t="shared" si="0"/>
        <v>1201</v>
      </c>
      <c r="C48" s="9">
        <v>43</v>
      </c>
      <c r="D48" s="9">
        <v>44</v>
      </c>
      <c r="E48" s="9">
        <v>45</v>
      </c>
      <c r="F48" s="9">
        <v>46</v>
      </c>
      <c r="G48" s="9">
        <v>59</v>
      </c>
      <c r="H48" s="9">
        <v>60</v>
      </c>
      <c r="I48" s="9">
        <v>61</v>
      </c>
      <c r="J48" s="9">
        <v>62</v>
      </c>
      <c r="K48" s="9">
        <v>63</v>
      </c>
      <c r="L48" s="91"/>
      <c r="M48" s="1"/>
      <c r="N48" s="6"/>
      <c r="O48" s="6"/>
      <c r="R48" s="1"/>
    </row>
    <row r="49" spans="1:18">
      <c r="A49" s="80"/>
      <c r="B49" s="8" t="str">
        <f t="shared" si="0"/>
        <v>1202</v>
      </c>
      <c r="C49" s="11">
        <v>47</v>
      </c>
      <c r="D49" s="9">
        <v>48</v>
      </c>
      <c r="E49" s="9">
        <v>49</v>
      </c>
      <c r="F49" s="9">
        <v>50</v>
      </c>
      <c r="G49" s="82"/>
      <c r="H49" s="83"/>
      <c r="I49" s="83"/>
      <c r="J49" s="83"/>
      <c r="K49" s="84"/>
      <c r="L49" s="91"/>
      <c r="M49" s="1"/>
      <c r="N49" s="6"/>
      <c r="O49" s="6"/>
      <c r="R49" s="1"/>
    </row>
    <row r="50" spans="1:18">
      <c r="A50" s="80"/>
      <c r="B50" s="8" t="str">
        <f t="shared" si="0"/>
        <v>1203</v>
      </c>
      <c r="C50" s="9">
        <v>51</v>
      </c>
      <c r="D50" s="9">
        <v>52</v>
      </c>
      <c r="E50" s="9">
        <v>53</v>
      </c>
      <c r="F50" s="9">
        <v>54</v>
      </c>
      <c r="G50" s="107"/>
      <c r="H50" s="108"/>
      <c r="I50" s="108"/>
      <c r="J50" s="108"/>
      <c r="K50" s="109"/>
      <c r="L50" s="91"/>
      <c r="O50" s="6"/>
    </row>
    <row r="51" spans="1:18">
      <c r="A51" s="80"/>
      <c r="B51" s="8" t="str">
        <f t="shared" si="0"/>
        <v>1204</v>
      </c>
      <c r="C51" s="9">
        <v>55</v>
      </c>
      <c r="D51" s="9">
        <v>56</v>
      </c>
      <c r="E51" s="9">
        <v>57</v>
      </c>
      <c r="F51" s="9">
        <v>58</v>
      </c>
      <c r="G51" s="85"/>
      <c r="H51" s="86"/>
      <c r="I51" s="86"/>
      <c r="J51" s="86"/>
      <c r="K51" s="87"/>
      <c r="L51" s="91"/>
      <c r="O51" s="6"/>
    </row>
    <row r="52" spans="1:18">
      <c r="A52" s="98">
        <v>13</v>
      </c>
      <c r="B52" s="8" t="str">
        <f t="shared" si="0"/>
        <v>1301</v>
      </c>
      <c r="C52" s="9">
        <v>1</v>
      </c>
      <c r="D52" s="9">
        <v>2</v>
      </c>
      <c r="E52" s="9">
        <v>3</v>
      </c>
      <c r="F52" s="9">
        <v>4</v>
      </c>
      <c r="G52" s="9">
        <v>17</v>
      </c>
      <c r="H52" s="9">
        <v>18</v>
      </c>
      <c r="I52" s="9">
        <v>19</v>
      </c>
      <c r="J52" s="9">
        <v>20</v>
      </c>
      <c r="K52" s="9">
        <v>21</v>
      </c>
      <c r="L52" s="91" t="s">
        <v>18</v>
      </c>
      <c r="O52" s="6"/>
    </row>
    <row r="53" spans="1:18">
      <c r="A53" s="106"/>
      <c r="B53" s="8" t="str">
        <f t="shared" si="0"/>
        <v>1302</v>
      </c>
      <c r="C53" s="9">
        <v>5</v>
      </c>
      <c r="D53" s="9">
        <v>6</v>
      </c>
      <c r="E53" s="9">
        <v>7</v>
      </c>
      <c r="F53" s="9">
        <v>8</v>
      </c>
      <c r="G53" s="82"/>
      <c r="H53" s="83"/>
      <c r="I53" s="83"/>
      <c r="J53" s="83"/>
      <c r="K53" s="84"/>
      <c r="L53" s="91"/>
      <c r="O53" s="6"/>
    </row>
    <row r="54" spans="1:18">
      <c r="A54" s="106"/>
      <c r="B54" s="8" t="str">
        <f t="shared" si="0"/>
        <v>1303</v>
      </c>
      <c r="C54" s="9">
        <v>9</v>
      </c>
      <c r="D54" s="9">
        <v>10</v>
      </c>
      <c r="E54" s="9">
        <v>11</v>
      </c>
      <c r="F54" s="9">
        <v>12</v>
      </c>
      <c r="G54" s="107"/>
      <c r="H54" s="108"/>
      <c r="I54" s="108"/>
      <c r="J54" s="108"/>
      <c r="K54" s="109"/>
      <c r="L54" s="91"/>
      <c r="O54" s="6"/>
    </row>
    <row r="55" spans="1:18">
      <c r="A55" s="99"/>
      <c r="B55" s="8" t="str">
        <f t="shared" si="0"/>
        <v>1304</v>
      </c>
      <c r="C55" s="9">
        <v>13</v>
      </c>
      <c r="D55" s="9">
        <v>14</v>
      </c>
      <c r="E55" s="9">
        <v>15</v>
      </c>
      <c r="F55" s="9">
        <v>16</v>
      </c>
      <c r="G55" s="85"/>
      <c r="H55" s="86"/>
      <c r="I55" s="86"/>
      <c r="J55" s="86"/>
      <c r="K55" s="87"/>
      <c r="L55" s="91"/>
      <c r="O55" s="6"/>
    </row>
    <row r="56" spans="1:18">
      <c r="A56" s="98">
        <v>14</v>
      </c>
      <c r="B56" s="8" t="str">
        <f t="shared" si="0"/>
        <v>1401</v>
      </c>
      <c r="C56" s="9">
        <v>22</v>
      </c>
      <c r="D56" s="9">
        <v>23</v>
      </c>
      <c r="E56" s="9">
        <v>24</v>
      </c>
      <c r="F56" s="9">
        <v>25</v>
      </c>
      <c r="G56" s="9">
        <v>38</v>
      </c>
      <c r="H56" s="9">
        <v>39</v>
      </c>
      <c r="I56" s="9">
        <v>40</v>
      </c>
      <c r="J56" s="9">
        <v>41</v>
      </c>
      <c r="K56" s="9">
        <v>42</v>
      </c>
      <c r="L56" s="91"/>
      <c r="O56" s="6"/>
    </row>
    <row r="57" spans="1:18">
      <c r="A57" s="106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82"/>
      <c r="H57" s="83"/>
      <c r="I57" s="83"/>
      <c r="J57" s="83"/>
      <c r="K57" s="84"/>
      <c r="L57" s="91"/>
      <c r="O57" s="6"/>
    </row>
    <row r="58" spans="1:18">
      <c r="A58" s="106"/>
      <c r="B58" s="8" t="str">
        <f t="shared" si="0"/>
        <v>1403</v>
      </c>
      <c r="C58" s="9">
        <v>30</v>
      </c>
      <c r="D58" s="9">
        <v>31</v>
      </c>
      <c r="E58" s="9">
        <v>32</v>
      </c>
      <c r="F58" s="9">
        <v>33</v>
      </c>
      <c r="G58" s="107"/>
      <c r="H58" s="108"/>
      <c r="I58" s="108"/>
      <c r="J58" s="108"/>
      <c r="K58" s="109"/>
      <c r="L58" s="91"/>
      <c r="O58" s="6"/>
    </row>
    <row r="59" spans="1:18">
      <c r="A59" s="99"/>
      <c r="B59" s="8" t="str">
        <f t="shared" si="0"/>
        <v>1404</v>
      </c>
      <c r="C59" s="9">
        <v>34</v>
      </c>
      <c r="D59" s="9">
        <v>35</v>
      </c>
      <c r="E59" s="9">
        <v>36</v>
      </c>
      <c r="F59" s="9">
        <v>37</v>
      </c>
      <c r="G59" s="85"/>
      <c r="H59" s="86"/>
      <c r="I59" s="86"/>
      <c r="J59" s="86"/>
      <c r="K59" s="87"/>
      <c r="L59" s="91"/>
      <c r="O59" s="6"/>
    </row>
    <row r="60" spans="1:18">
      <c r="A60" s="98">
        <v>15</v>
      </c>
      <c r="B60" s="8" t="str">
        <f t="shared" si="0"/>
        <v>1501</v>
      </c>
      <c r="C60" s="9">
        <v>43</v>
      </c>
      <c r="D60" s="9">
        <v>44</v>
      </c>
      <c r="E60" s="9">
        <v>45</v>
      </c>
      <c r="F60" s="9">
        <v>46</v>
      </c>
      <c r="G60" s="9">
        <v>59</v>
      </c>
      <c r="H60" s="9">
        <v>60</v>
      </c>
      <c r="I60" s="9">
        <v>61</v>
      </c>
      <c r="J60" s="9">
        <v>62</v>
      </c>
      <c r="K60" s="9">
        <v>63</v>
      </c>
      <c r="L60" s="91"/>
      <c r="O60" s="6"/>
    </row>
    <row r="61" spans="1:18">
      <c r="A61" s="106"/>
      <c r="B61" s="8" t="str">
        <f t="shared" si="0"/>
        <v>1502</v>
      </c>
      <c r="C61" s="9">
        <v>47</v>
      </c>
      <c r="D61" s="9">
        <v>48</v>
      </c>
      <c r="E61" s="9">
        <v>49</v>
      </c>
      <c r="F61" s="9">
        <v>50</v>
      </c>
      <c r="G61" s="82"/>
      <c r="H61" s="83"/>
      <c r="I61" s="83"/>
      <c r="J61" s="83"/>
      <c r="K61" s="84"/>
      <c r="L61" s="91"/>
      <c r="O61" s="6"/>
    </row>
    <row r="62" spans="1:18">
      <c r="A62" s="106"/>
      <c r="B62" s="8" t="str">
        <f t="shared" si="0"/>
        <v>1503</v>
      </c>
      <c r="C62" s="9">
        <v>51</v>
      </c>
      <c r="D62" s="9">
        <v>52</v>
      </c>
      <c r="E62" s="9">
        <v>53</v>
      </c>
      <c r="F62" s="9">
        <v>54</v>
      </c>
      <c r="G62" s="107"/>
      <c r="H62" s="108"/>
      <c r="I62" s="108"/>
      <c r="J62" s="108"/>
      <c r="K62" s="109"/>
      <c r="L62" s="91"/>
      <c r="O62" s="6"/>
    </row>
    <row r="63" spans="1:18">
      <c r="A63" s="99"/>
      <c r="B63" s="8" t="str">
        <f t="shared" si="0"/>
        <v>1504</v>
      </c>
      <c r="C63" s="9">
        <v>55</v>
      </c>
      <c r="D63" s="9">
        <v>56</v>
      </c>
      <c r="E63" s="9">
        <v>57</v>
      </c>
      <c r="F63" s="9">
        <v>58</v>
      </c>
      <c r="G63" s="85"/>
      <c r="H63" s="86"/>
      <c r="I63" s="86"/>
      <c r="J63" s="86"/>
      <c r="K63" s="87"/>
      <c r="L63" s="91"/>
      <c r="O63" s="6"/>
    </row>
    <row r="64" spans="1:18">
      <c r="A64" s="98">
        <v>16</v>
      </c>
      <c r="B64" s="8" t="str">
        <f t="shared" si="0"/>
        <v>1601</v>
      </c>
      <c r="C64" s="11">
        <v>1</v>
      </c>
      <c r="D64" s="9">
        <v>2</v>
      </c>
      <c r="E64" s="9">
        <v>3</v>
      </c>
      <c r="F64" s="9">
        <v>4</v>
      </c>
      <c r="G64" s="10">
        <v>17</v>
      </c>
      <c r="H64" s="9">
        <v>18</v>
      </c>
      <c r="I64" s="9">
        <v>19</v>
      </c>
      <c r="J64" s="9">
        <v>20</v>
      </c>
      <c r="K64" s="9">
        <v>21</v>
      </c>
      <c r="L64" s="91" t="s">
        <v>20</v>
      </c>
      <c r="O64" s="6"/>
    </row>
    <row r="65" spans="1:15">
      <c r="A65" s="106"/>
      <c r="B65" s="8" t="str">
        <f t="shared" si="0"/>
        <v>1602</v>
      </c>
      <c r="C65" s="9">
        <v>5</v>
      </c>
      <c r="D65" s="9">
        <v>6</v>
      </c>
      <c r="E65" s="9">
        <v>7</v>
      </c>
      <c r="F65" s="9">
        <v>8</v>
      </c>
      <c r="G65" s="82"/>
      <c r="H65" s="83"/>
      <c r="I65" s="83"/>
      <c r="J65" s="83"/>
      <c r="K65" s="84"/>
      <c r="L65" s="91"/>
      <c r="O65" s="6"/>
    </row>
    <row r="66" spans="1:15">
      <c r="A66" s="106"/>
      <c r="B66" s="8" t="str">
        <f t="shared" si="0"/>
        <v>1603</v>
      </c>
      <c r="C66" s="9">
        <v>9</v>
      </c>
      <c r="D66" s="9">
        <v>10</v>
      </c>
      <c r="E66" s="9">
        <v>11</v>
      </c>
      <c r="F66" s="9">
        <v>12</v>
      </c>
      <c r="G66" s="107"/>
      <c r="H66" s="108"/>
      <c r="I66" s="108"/>
      <c r="J66" s="108"/>
      <c r="K66" s="109"/>
      <c r="L66" s="91"/>
      <c r="O66" s="6"/>
    </row>
    <row r="67" spans="1:15">
      <c r="A67" s="99"/>
      <c r="B67" s="8" t="str">
        <f t="shared" si="0"/>
        <v>1604</v>
      </c>
      <c r="C67" s="9">
        <v>13</v>
      </c>
      <c r="D67" s="9">
        <v>14</v>
      </c>
      <c r="E67" s="10">
        <v>15</v>
      </c>
      <c r="F67" s="10">
        <v>16</v>
      </c>
      <c r="G67" s="85"/>
      <c r="H67" s="86"/>
      <c r="I67" s="86"/>
      <c r="J67" s="86"/>
      <c r="K67" s="87"/>
      <c r="L67" s="91"/>
      <c r="O67" s="6"/>
    </row>
    <row r="68" spans="1:15">
      <c r="A68" s="98">
        <v>17</v>
      </c>
      <c r="B68" s="8" t="str">
        <f t="shared" si="0"/>
        <v>1701</v>
      </c>
      <c r="C68" s="9">
        <v>22</v>
      </c>
      <c r="D68" s="9">
        <v>23</v>
      </c>
      <c r="E68" s="9">
        <v>24</v>
      </c>
      <c r="F68" s="9">
        <v>25</v>
      </c>
      <c r="G68" s="9">
        <v>38</v>
      </c>
      <c r="H68" s="10">
        <v>39</v>
      </c>
      <c r="I68" s="9">
        <v>40</v>
      </c>
      <c r="J68" s="9">
        <v>41</v>
      </c>
      <c r="K68" s="9">
        <v>42</v>
      </c>
      <c r="L68" s="91"/>
      <c r="O68" s="6"/>
    </row>
    <row r="69" spans="1:15">
      <c r="A69" s="106"/>
      <c r="B69" s="8" t="str">
        <f t="shared" ref="B69:B103" si="1">INT((ROW()-4)/4)+1 &amp; TEXT(MOD(ROW()-4,4)+1,"00")</f>
        <v>1702</v>
      </c>
      <c r="C69" s="9">
        <v>26</v>
      </c>
      <c r="D69" s="9">
        <v>27</v>
      </c>
      <c r="E69" s="9">
        <v>28</v>
      </c>
      <c r="F69" s="9">
        <v>29</v>
      </c>
      <c r="G69" s="82"/>
      <c r="H69" s="83"/>
      <c r="I69" s="83"/>
      <c r="J69" s="83"/>
      <c r="K69" s="84"/>
      <c r="L69" s="91"/>
      <c r="O69" s="6"/>
    </row>
    <row r="70" spans="1:15">
      <c r="A70" s="106"/>
      <c r="B70" s="8" t="str">
        <f t="shared" si="1"/>
        <v>1703</v>
      </c>
      <c r="C70" s="9">
        <v>30</v>
      </c>
      <c r="D70" s="9">
        <v>31</v>
      </c>
      <c r="E70" s="9">
        <v>32</v>
      </c>
      <c r="F70" s="9">
        <v>33</v>
      </c>
      <c r="G70" s="107"/>
      <c r="H70" s="108"/>
      <c r="I70" s="108"/>
      <c r="J70" s="108"/>
      <c r="K70" s="109"/>
      <c r="L70" s="91"/>
      <c r="O70" s="6"/>
    </row>
    <row r="71" spans="1:15">
      <c r="A71" s="99"/>
      <c r="B71" s="8" t="str">
        <f t="shared" si="1"/>
        <v>1704</v>
      </c>
      <c r="C71" s="9">
        <v>34</v>
      </c>
      <c r="D71" s="9">
        <v>35</v>
      </c>
      <c r="E71" s="9">
        <v>36</v>
      </c>
      <c r="F71" s="9">
        <v>37</v>
      </c>
      <c r="G71" s="85"/>
      <c r="H71" s="86"/>
      <c r="I71" s="86"/>
      <c r="J71" s="86"/>
      <c r="K71" s="87"/>
      <c r="L71" s="91"/>
      <c r="O71" s="6"/>
    </row>
    <row r="72" spans="1:15">
      <c r="A72" s="98">
        <v>18</v>
      </c>
      <c r="B72" s="8" t="str">
        <f t="shared" si="1"/>
        <v>1801</v>
      </c>
      <c r="C72" s="9">
        <v>43</v>
      </c>
      <c r="D72" s="9">
        <v>44</v>
      </c>
      <c r="E72" s="9">
        <v>45</v>
      </c>
      <c r="F72" s="9">
        <v>46</v>
      </c>
      <c r="G72" s="9">
        <v>59</v>
      </c>
      <c r="H72" s="9">
        <v>60</v>
      </c>
      <c r="I72" s="10">
        <v>61</v>
      </c>
      <c r="J72" s="9">
        <v>62</v>
      </c>
      <c r="K72" s="9">
        <v>63</v>
      </c>
      <c r="L72" s="91"/>
      <c r="O72" s="6"/>
    </row>
    <row r="73" spans="1:15">
      <c r="A73" s="106"/>
      <c r="B73" s="8" t="str">
        <f t="shared" si="1"/>
        <v>1802</v>
      </c>
      <c r="C73" s="11">
        <v>47</v>
      </c>
      <c r="D73" s="9">
        <v>48</v>
      </c>
      <c r="E73" s="9">
        <v>49</v>
      </c>
      <c r="F73" s="9">
        <v>50</v>
      </c>
      <c r="G73" s="82"/>
      <c r="H73" s="83"/>
      <c r="I73" s="83"/>
      <c r="J73" s="83"/>
      <c r="K73" s="84"/>
      <c r="L73" s="91"/>
      <c r="O73" s="6"/>
    </row>
    <row r="74" spans="1:15">
      <c r="A74" s="106"/>
      <c r="B74" s="8" t="str">
        <f t="shared" si="1"/>
        <v>1803</v>
      </c>
      <c r="C74" s="9">
        <v>51</v>
      </c>
      <c r="D74" s="9">
        <v>52</v>
      </c>
      <c r="E74" s="9">
        <v>53</v>
      </c>
      <c r="F74" s="9">
        <v>54</v>
      </c>
      <c r="G74" s="107"/>
      <c r="H74" s="108"/>
      <c r="I74" s="108"/>
      <c r="J74" s="108"/>
      <c r="K74" s="109"/>
      <c r="L74" s="91"/>
      <c r="O74" s="6"/>
    </row>
    <row r="75" spans="1:15">
      <c r="A75" s="99"/>
      <c r="B75" s="8" t="str">
        <f t="shared" si="1"/>
        <v>1804</v>
      </c>
      <c r="C75" s="11">
        <v>55</v>
      </c>
      <c r="D75" s="9">
        <v>56</v>
      </c>
      <c r="E75" s="9">
        <v>57</v>
      </c>
      <c r="F75" s="9">
        <v>58</v>
      </c>
      <c r="G75" s="85"/>
      <c r="H75" s="86"/>
      <c r="I75" s="86"/>
      <c r="J75" s="86"/>
      <c r="K75" s="87"/>
      <c r="L75" s="91"/>
      <c r="O75" s="6"/>
    </row>
    <row r="76" spans="1:15">
      <c r="A76" s="98">
        <v>19</v>
      </c>
      <c r="B76" s="8" t="str">
        <f t="shared" si="1"/>
        <v>1901</v>
      </c>
      <c r="C76" s="9">
        <v>1</v>
      </c>
      <c r="D76" s="9">
        <v>2</v>
      </c>
      <c r="E76" s="9">
        <v>3</v>
      </c>
      <c r="F76" s="9">
        <v>4</v>
      </c>
      <c r="G76" s="9">
        <v>17</v>
      </c>
      <c r="H76" s="9">
        <v>18</v>
      </c>
      <c r="I76" s="9">
        <v>19</v>
      </c>
      <c r="J76" s="9">
        <v>20</v>
      </c>
      <c r="K76" s="9">
        <v>21</v>
      </c>
      <c r="L76" s="91" t="s">
        <v>21</v>
      </c>
      <c r="O76" s="6"/>
    </row>
    <row r="77" spans="1:15">
      <c r="A77" s="106"/>
      <c r="B77" s="8" t="str">
        <f t="shared" si="1"/>
        <v>1902</v>
      </c>
      <c r="C77" s="9">
        <v>5</v>
      </c>
      <c r="D77" s="9">
        <v>6</v>
      </c>
      <c r="E77" s="9">
        <v>7</v>
      </c>
      <c r="F77" s="9">
        <v>8</v>
      </c>
      <c r="G77" s="82"/>
      <c r="H77" s="83"/>
      <c r="I77" s="83"/>
      <c r="J77" s="83"/>
      <c r="K77" s="84"/>
      <c r="L77" s="91"/>
      <c r="O77" s="6"/>
    </row>
    <row r="78" spans="1:15">
      <c r="A78" s="106"/>
      <c r="B78" s="8" t="str">
        <f t="shared" si="1"/>
        <v>1903</v>
      </c>
      <c r="C78" s="9">
        <v>9</v>
      </c>
      <c r="D78" s="9">
        <v>10</v>
      </c>
      <c r="E78" s="9">
        <v>11</v>
      </c>
      <c r="F78" s="11">
        <v>12</v>
      </c>
      <c r="G78" s="107"/>
      <c r="H78" s="108"/>
      <c r="I78" s="108"/>
      <c r="J78" s="108"/>
      <c r="K78" s="109"/>
      <c r="L78" s="91"/>
      <c r="O78" s="6"/>
    </row>
    <row r="79" spans="1:15">
      <c r="A79" s="99"/>
      <c r="B79" s="8" t="str">
        <f t="shared" si="1"/>
        <v>1904</v>
      </c>
      <c r="C79" s="9">
        <v>13</v>
      </c>
      <c r="D79" s="9">
        <v>14</v>
      </c>
      <c r="E79" s="9">
        <v>15</v>
      </c>
      <c r="F79" s="9">
        <v>16</v>
      </c>
      <c r="G79" s="85"/>
      <c r="H79" s="86"/>
      <c r="I79" s="86"/>
      <c r="J79" s="86"/>
      <c r="K79" s="87"/>
      <c r="L79" s="91"/>
      <c r="O79" s="6"/>
    </row>
    <row r="80" spans="1:15">
      <c r="A80" s="98">
        <v>20</v>
      </c>
      <c r="B80" s="8" t="str">
        <f t="shared" si="1"/>
        <v>2001</v>
      </c>
      <c r="C80" s="9">
        <v>22</v>
      </c>
      <c r="D80" s="9">
        <v>23</v>
      </c>
      <c r="E80" s="9">
        <v>24</v>
      </c>
      <c r="F80" s="9">
        <v>25</v>
      </c>
      <c r="G80" s="9">
        <v>38</v>
      </c>
      <c r="H80" s="9">
        <v>39</v>
      </c>
      <c r="I80" s="9">
        <v>40</v>
      </c>
      <c r="J80" s="9">
        <v>41</v>
      </c>
      <c r="K80" s="9">
        <v>42</v>
      </c>
      <c r="L80" s="91"/>
      <c r="O80" s="6"/>
    </row>
    <row r="81" spans="1:19">
      <c r="A81" s="106"/>
      <c r="B81" s="8" t="str">
        <f t="shared" si="1"/>
        <v>2002</v>
      </c>
      <c r="C81" s="9">
        <v>26</v>
      </c>
      <c r="D81" s="9">
        <v>27</v>
      </c>
      <c r="E81" s="9">
        <v>28</v>
      </c>
      <c r="F81" s="9">
        <v>29</v>
      </c>
      <c r="G81" s="82"/>
      <c r="H81" s="83"/>
      <c r="I81" s="83"/>
      <c r="J81" s="83"/>
      <c r="K81" s="84"/>
      <c r="L81" s="91"/>
      <c r="O81" s="6"/>
    </row>
    <row r="82" spans="1:19">
      <c r="A82" s="106"/>
      <c r="B82" s="8" t="str">
        <f t="shared" si="1"/>
        <v>2003</v>
      </c>
      <c r="C82" s="9">
        <v>30</v>
      </c>
      <c r="D82" s="9">
        <v>31</v>
      </c>
      <c r="E82" s="9">
        <v>32</v>
      </c>
      <c r="F82" s="9">
        <v>33</v>
      </c>
      <c r="G82" s="107"/>
      <c r="H82" s="108"/>
      <c r="I82" s="108"/>
      <c r="J82" s="108"/>
      <c r="K82" s="109"/>
      <c r="L82" s="91"/>
      <c r="O82" s="6"/>
    </row>
    <row r="83" spans="1:19">
      <c r="A83" s="99"/>
      <c r="B83" s="8" t="str">
        <f t="shared" si="1"/>
        <v>2004</v>
      </c>
      <c r="C83" s="9">
        <v>34</v>
      </c>
      <c r="D83" s="9">
        <v>35</v>
      </c>
      <c r="E83" s="9">
        <v>36</v>
      </c>
      <c r="F83" s="9">
        <v>37</v>
      </c>
      <c r="G83" s="85"/>
      <c r="H83" s="86"/>
      <c r="I83" s="86"/>
      <c r="J83" s="86"/>
      <c r="K83" s="87"/>
      <c r="L83" s="91"/>
      <c r="O83" s="6"/>
    </row>
    <row r="84" spans="1:19">
      <c r="A84" s="98">
        <v>21</v>
      </c>
      <c r="B84" s="8" t="str">
        <f t="shared" si="1"/>
        <v>2101</v>
      </c>
      <c r="C84" s="9">
        <v>43</v>
      </c>
      <c r="D84" s="9">
        <v>44</v>
      </c>
      <c r="E84" s="9">
        <v>45</v>
      </c>
      <c r="F84" s="9">
        <v>46</v>
      </c>
      <c r="G84" s="9">
        <v>59</v>
      </c>
      <c r="H84" s="9">
        <v>60</v>
      </c>
      <c r="I84" s="9">
        <v>61</v>
      </c>
      <c r="J84" s="9">
        <v>62</v>
      </c>
      <c r="K84" s="9">
        <v>63</v>
      </c>
      <c r="L84" s="91"/>
      <c r="O84" s="6"/>
    </row>
    <row r="85" spans="1:19">
      <c r="A85" s="106"/>
      <c r="B85" s="8" t="str">
        <f t="shared" si="1"/>
        <v>2102</v>
      </c>
      <c r="C85" s="9">
        <v>47</v>
      </c>
      <c r="D85" s="9">
        <v>48</v>
      </c>
      <c r="E85" s="9">
        <v>49</v>
      </c>
      <c r="F85" s="9">
        <v>50</v>
      </c>
      <c r="G85" s="82"/>
      <c r="H85" s="83"/>
      <c r="I85" s="83"/>
      <c r="J85" s="83"/>
      <c r="K85" s="84"/>
      <c r="L85" s="91"/>
      <c r="O85" s="6"/>
    </row>
    <row r="86" spans="1:19">
      <c r="A86" s="106"/>
      <c r="B86" s="8" t="str">
        <f t="shared" si="1"/>
        <v>2103</v>
      </c>
      <c r="C86" s="9">
        <v>51</v>
      </c>
      <c r="D86" s="9">
        <v>52</v>
      </c>
      <c r="E86" s="9">
        <v>53</v>
      </c>
      <c r="F86" s="9">
        <v>54</v>
      </c>
      <c r="G86" s="107"/>
      <c r="H86" s="108"/>
      <c r="I86" s="108"/>
      <c r="J86" s="108"/>
      <c r="K86" s="109"/>
      <c r="L86" s="91"/>
    </row>
    <row r="87" spans="1:19">
      <c r="A87" s="99"/>
      <c r="B87" s="8" t="str">
        <f t="shared" si="1"/>
        <v>2104</v>
      </c>
      <c r="C87" s="9">
        <v>55</v>
      </c>
      <c r="D87" s="9">
        <v>56</v>
      </c>
      <c r="E87" s="9">
        <v>57</v>
      </c>
      <c r="F87" s="9">
        <v>58</v>
      </c>
      <c r="G87" s="85"/>
      <c r="H87" s="86"/>
      <c r="I87" s="86"/>
      <c r="J87" s="86"/>
      <c r="K87" s="87"/>
      <c r="L87" s="91"/>
    </row>
    <row r="88" spans="1:19">
      <c r="A88" s="98">
        <v>22</v>
      </c>
      <c r="B88" s="8" t="str">
        <f t="shared" si="1"/>
        <v>2201</v>
      </c>
      <c r="C88" s="11">
        <v>64</v>
      </c>
      <c r="D88" s="11">
        <v>65</v>
      </c>
      <c r="E88" s="9">
        <v>66</v>
      </c>
      <c r="F88" s="9">
        <v>67</v>
      </c>
      <c r="G88" s="9">
        <v>80</v>
      </c>
      <c r="H88" s="9">
        <v>81</v>
      </c>
      <c r="I88" s="9">
        <v>82</v>
      </c>
      <c r="J88" s="9">
        <v>83</v>
      </c>
      <c r="K88" s="9">
        <v>84</v>
      </c>
      <c r="L88" s="91"/>
      <c r="N88" s="6"/>
    </row>
    <row r="89" spans="1:19">
      <c r="A89" s="106"/>
      <c r="B89" s="8" t="str">
        <f t="shared" si="1"/>
        <v>2202</v>
      </c>
      <c r="C89" s="9">
        <v>68</v>
      </c>
      <c r="D89" s="9">
        <v>69</v>
      </c>
      <c r="E89" s="9">
        <v>70</v>
      </c>
      <c r="F89" s="9">
        <v>71</v>
      </c>
      <c r="G89" s="82"/>
      <c r="H89" s="83"/>
      <c r="I89" s="83"/>
      <c r="J89" s="83"/>
      <c r="K89" s="84"/>
      <c r="L89" s="91"/>
      <c r="N89" s="6"/>
    </row>
    <row r="90" spans="1:19">
      <c r="A90" s="106"/>
      <c r="B90" s="8" t="str">
        <f t="shared" si="1"/>
        <v>2203</v>
      </c>
      <c r="C90" s="9">
        <v>72</v>
      </c>
      <c r="D90" s="9">
        <v>73</v>
      </c>
      <c r="E90" s="9">
        <v>74</v>
      </c>
      <c r="F90" s="9">
        <v>75</v>
      </c>
      <c r="G90" s="107"/>
      <c r="H90" s="108"/>
      <c r="I90" s="108"/>
      <c r="J90" s="108"/>
      <c r="K90" s="109"/>
      <c r="L90" s="91"/>
      <c r="N90" s="6"/>
    </row>
    <row r="91" spans="1:19">
      <c r="A91" s="99"/>
      <c r="B91" s="8" t="str">
        <f t="shared" si="1"/>
        <v>2204</v>
      </c>
      <c r="C91" s="9">
        <v>76</v>
      </c>
      <c r="D91" s="9">
        <v>77</v>
      </c>
      <c r="E91" s="9">
        <v>78</v>
      </c>
      <c r="F91" s="9">
        <v>79</v>
      </c>
      <c r="G91" s="85"/>
      <c r="H91" s="86"/>
      <c r="I91" s="86"/>
      <c r="J91" s="86"/>
      <c r="K91" s="87"/>
      <c r="L91" s="91"/>
      <c r="N91" s="6"/>
    </row>
    <row r="92" spans="1:19">
      <c r="A92" s="98">
        <v>23</v>
      </c>
      <c r="B92" s="8" t="str">
        <f t="shared" si="1"/>
        <v>2301</v>
      </c>
      <c r="C92" s="9">
        <v>1</v>
      </c>
      <c r="D92" s="9">
        <v>2</v>
      </c>
      <c r="E92" s="9">
        <v>3</v>
      </c>
      <c r="F92" s="9">
        <v>4</v>
      </c>
      <c r="G92" s="9">
        <v>17</v>
      </c>
      <c r="H92" s="9">
        <v>18</v>
      </c>
      <c r="I92" s="9">
        <v>19</v>
      </c>
      <c r="J92" s="9">
        <v>20</v>
      </c>
      <c r="K92" s="20">
        <v>21</v>
      </c>
      <c r="L92" s="91" t="s">
        <v>22</v>
      </c>
      <c r="N92" s="6"/>
      <c r="S92" s="18"/>
    </row>
    <row r="93" spans="1:19">
      <c r="A93" s="106"/>
      <c r="B93" s="8" t="str">
        <f t="shared" si="1"/>
        <v>2302</v>
      </c>
      <c r="C93" s="11">
        <v>5</v>
      </c>
      <c r="D93" s="9">
        <v>6</v>
      </c>
      <c r="E93" s="9">
        <v>7</v>
      </c>
      <c r="F93" s="9">
        <v>8</v>
      </c>
      <c r="G93" s="82"/>
      <c r="H93" s="83"/>
      <c r="I93" s="83"/>
      <c r="J93" s="83"/>
      <c r="K93" s="83"/>
      <c r="L93" s="91"/>
      <c r="N93" s="6"/>
    </row>
    <row r="94" spans="1:19">
      <c r="A94" s="106"/>
      <c r="B94" s="8" t="str">
        <f t="shared" si="1"/>
        <v>2303</v>
      </c>
      <c r="C94" s="9">
        <v>9</v>
      </c>
      <c r="D94" s="9">
        <v>10</v>
      </c>
      <c r="E94" s="9">
        <v>11</v>
      </c>
      <c r="F94" s="9">
        <v>12</v>
      </c>
      <c r="G94" s="107"/>
      <c r="H94" s="108"/>
      <c r="I94" s="108"/>
      <c r="J94" s="108"/>
      <c r="K94" s="108"/>
      <c r="L94" s="91"/>
      <c r="N94" s="6"/>
    </row>
    <row r="95" spans="1:19">
      <c r="A95" s="99"/>
      <c r="B95" s="8" t="str">
        <f t="shared" si="1"/>
        <v>2304</v>
      </c>
      <c r="C95" s="10">
        <v>13</v>
      </c>
      <c r="D95" s="9">
        <v>14</v>
      </c>
      <c r="E95" s="9">
        <v>15</v>
      </c>
      <c r="F95" s="9">
        <v>16</v>
      </c>
      <c r="G95" s="85"/>
      <c r="H95" s="86"/>
      <c r="I95" s="86"/>
      <c r="J95" s="86"/>
      <c r="K95" s="86"/>
      <c r="L95" s="91"/>
      <c r="N95" s="6"/>
    </row>
    <row r="96" spans="1:19">
      <c r="A96" s="98">
        <v>24</v>
      </c>
      <c r="B96" s="8" t="str">
        <f t="shared" si="1"/>
        <v>2401</v>
      </c>
      <c r="C96" s="9">
        <v>22</v>
      </c>
      <c r="D96" s="9">
        <v>23</v>
      </c>
      <c r="E96" s="9">
        <v>24</v>
      </c>
      <c r="F96" s="9">
        <v>25</v>
      </c>
      <c r="G96" s="9">
        <v>38</v>
      </c>
      <c r="H96" s="9">
        <v>39</v>
      </c>
      <c r="I96" s="9">
        <v>40</v>
      </c>
      <c r="J96" s="9">
        <v>41</v>
      </c>
      <c r="K96" s="20">
        <v>42</v>
      </c>
      <c r="L96" s="91"/>
      <c r="N96" s="6"/>
    </row>
    <row r="97" spans="1:15">
      <c r="A97" s="106"/>
      <c r="B97" s="8" t="str">
        <f t="shared" si="1"/>
        <v>2402</v>
      </c>
      <c r="C97" s="11">
        <v>26</v>
      </c>
      <c r="D97" s="9">
        <v>27</v>
      </c>
      <c r="E97" s="9">
        <v>28</v>
      </c>
      <c r="F97" s="9">
        <v>29</v>
      </c>
      <c r="G97" s="82"/>
      <c r="H97" s="83"/>
      <c r="I97" s="83"/>
      <c r="J97" s="83"/>
      <c r="K97" s="83"/>
      <c r="L97" s="91"/>
      <c r="N97" s="6"/>
    </row>
    <row r="98" spans="1:15">
      <c r="A98" s="106"/>
      <c r="B98" s="8" t="str">
        <f t="shared" si="1"/>
        <v>2403</v>
      </c>
      <c r="C98" s="9">
        <v>30</v>
      </c>
      <c r="D98" s="9">
        <v>31</v>
      </c>
      <c r="E98" s="9">
        <v>32</v>
      </c>
      <c r="F98" s="9">
        <v>33</v>
      </c>
      <c r="G98" s="107"/>
      <c r="H98" s="108"/>
      <c r="I98" s="108"/>
      <c r="J98" s="108"/>
      <c r="K98" s="108"/>
      <c r="L98" s="91"/>
      <c r="N98" s="6"/>
      <c r="O98" s="6"/>
    </row>
    <row r="99" spans="1:15">
      <c r="A99" s="99"/>
      <c r="B99" s="8" t="str">
        <f t="shared" si="1"/>
        <v>2404</v>
      </c>
      <c r="C99" s="9">
        <v>34</v>
      </c>
      <c r="D99" s="9">
        <v>35</v>
      </c>
      <c r="E99" s="11">
        <v>36</v>
      </c>
      <c r="F99" s="9">
        <v>37</v>
      </c>
      <c r="G99" s="85"/>
      <c r="H99" s="86"/>
      <c r="I99" s="86"/>
      <c r="J99" s="86"/>
      <c r="K99" s="86"/>
      <c r="L99" s="91"/>
      <c r="N99" s="6"/>
      <c r="O99" s="6"/>
    </row>
    <row r="100" spans="1:15">
      <c r="A100" s="98">
        <v>25</v>
      </c>
      <c r="B100" s="8" t="str">
        <f t="shared" si="1"/>
        <v>2501</v>
      </c>
      <c r="C100" s="9">
        <v>43</v>
      </c>
      <c r="D100" s="9">
        <v>44</v>
      </c>
      <c r="E100" s="9">
        <v>45</v>
      </c>
      <c r="F100" s="9">
        <v>46</v>
      </c>
      <c r="G100" s="9">
        <v>59</v>
      </c>
      <c r="H100" s="9">
        <v>60</v>
      </c>
      <c r="I100" s="9">
        <v>61</v>
      </c>
      <c r="J100" s="9">
        <v>62</v>
      </c>
      <c r="K100" s="20">
        <v>63</v>
      </c>
      <c r="L100" s="91"/>
      <c r="O100" s="6"/>
    </row>
    <row r="101" spans="1:15">
      <c r="A101" s="106"/>
      <c r="B101" s="8" t="str">
        <f t="shared" si="1"/>
        <v>2502</v>
      </c>
      <c r="C101" s="9">
        <v>47</v>
      </c>
      <c r="D101" s="9">
        <v>48</v>
      </c>
      <c r="E101" s="9">
        <v>49</v>
      </c>
      <c r="F101" s="9">
        <v>50</v>
      </c>
      <c r="G101" s="82"/>
      <c r="H101" s="83"/>
      <c r="I101" s="83"/>
      <c r="J101" s="83"/>
      <c r="K101" s="83"/>
      <c r="L101" s="91"/>
      <c r="O101" s="6"/>
    </row>
    <row r="102" spans="1:15">
      <c r="A102" s="106"/>
      <c r="B102" s="8" t="str">
        <f t="shared" si="1"/>
        <v>2503</v>
      </c>
      <c r="C102" s="9">
        <v>51</v>
      </c>
      <c r="D102" s="9">
        <v>52</v>
      </c>
      <c r="E102" s="9">
        <v>53</v>
      </c>
      <c r="F102" s="9">
        <v>54</v>
      </c>
      <c r="G102" s="107"/>
      <c r="H102" s="108"/>
      <c r="I102" s="108"/>
      <c r="J102" s="108"/>
      <c r="K102" s="108"/>
      <c r="L102" s="91"/>
      <c r="O102" s="6"/>
    </row>
    <row r="103" spans="1:15">
      <c r="A103" s="99"/>
      <c r="B103" s="8" t="str">
        <f t="shared" si="1"/>
        <v>2504</v>
      </c>
      <c r="C103" s="9">
        <v>55</v>
      </c>
      <c r="D103" s="9">
        <v>56</v>
      </c>
      <c r="E103" s="9">
        <v>57</v>
      </c>
      <c r="F103" s="11">
        <v>58</v>
      </c>
      <c r="G103" s="85"/>
      <c r="H103" s="86"/>
      <c r="I103" s="86"/>
      <c r="J103" s="86"/>
      <c r="K103" s="86"/>
      <c r="L103" s="91"/>
      <c r="O103" s="6"/>
    </row>
  </sheetData>
  <mergeCells count="78">
    <mergeCell ref="L92:L103"/>
    <mergeCell ref="A92:A95"/>
    <mergeCell ref="G93:K95"/>
    <mergeCell ref="A96:A99"/>
    <mergeCell ref="G97:K99"/>
    <mergeCell ref="A100:A103"/>
    <mergeCell ref="G101:K103"/>
    <mergeCell ref="A76:A79"/>
    <mergeCell ref="L76:L91"/>
    <mergeCell ref="G77:K79"/>
    <mergeCell ref="A80:A83"/>
    <mergeCell ref="G81:K83"/>
    <mergeCell ref="A84:A87"/>
    <mergeCell ref="G85:K87"/>
    <mergeCell ref="A88:A91"/>
    <mergeCell ref="G89:K91"/>
    <mergeCell ref="A64:A67"/>
    <mergeCell ref="L64:L75"/>
    <mergeCell ref="G65:K67"/>
    <mergeCell ref="A68:A71"/>
    <mergeCell ref="G69:K71"/>
    <mergeCell ref="A72:A75"/>
    <mergeCell ref="G73:K75"/>
    <mergeCell ref="G49:K51"/>
    <mergeCell ref="A52:A55"/>
    <mergeCell ref="L52:L63"/>
    <mergeCell ref="G53:K55"/>
    <mergeCell ref="A56:A59"/>
    <mergeCell ref="G57:K59"/>
    <mergeCell ref="A60:A63"/>
    <mergeCell ref="G61:K63"/>
    <mergeCell ref="A28:A31"/>
    <mergeCell ref="L28:L39"/>
    <mergeCell ref="G29:K31"/>
    <mergeCell ref="S29:S32"/>
    <mergeCell ref="A32:A35"/>
    <mergeCell ref="G33:K35"/>
    <mergeCell ref="S34:S37"/>
    <mergeCell ref="A36:A39"/>
    <mergeCell ref="G37:K39"/>
    <mergeCell ref="S39:S42"/>
    <mergeCell ref="A40:A43"/>
    <mergeCell ref="L40:L51"/>
    <mergeCell ref="G41:K43"/>
    <mergeCell ref="A44:A47"/>
    <mergeCell ref="G45:K47"/>
    <mergeCell ref="A48:A51"/>
    <mergeCell ref="A20:A23"/>
    <mergeCell ref="G21:K23"/>
    <mergeCell ref="A24:A27"/>
    <mergeCell ref="S24:S27"/>
    <mergeCell ref="G25:K27"/>
    <mergeCell ref="O3:P3"/>
    <mergeCell ref="A4:A7"/>
    <mergeCell ref="L4:L15"/>
    <mergeCell ref="N4:N7"/>
    <mergeCell ref="S4:S7"/>
    <mergeCell ref="G5:K7"/>
    <mergeCell ref="A8:A11"/>
    <mergeCell ref="G9:K11"/>
    <mergeCell ref="S9:S12"/>
    <mergeCell ref="A12:A15"/>
    <mergeCell ref="G13:K15"/>
    <mergeCell ref="S14:S17"/>
    <mergeCell ref="A16:A19"/>
    <mergeCell ref="L16:L27"/>
    <mergeCell ref="G17:K19"/>
    <mergeCell ref="S19:S22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</mergeCells>
  <conditionalFormatting sqref="F10">
    <cfRule type="cellIs" dxfId="308" priority="16" operator="equal">
      <formula>"Ногоон"</formula>
    </cfRule>
    <cfRule type="cellIs" dxfId="307" priority="17" operator="equal">
      <formula>"Улаан"</formula>
    </cfRule>
  </conditionalFormatting>
  <conditionalFormatting sqref="C4:K4 C8:K8 C5:G5 C6:F7 C12:K12 C9:G9 C10:F11 C100:K100 C13:G13 C14:F15 C16:K16 C20:K20 C17:G17 C18:F19 C24:K24 C21:G21 C22:F23 C25:G25 C26:F27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 C101:G101 C102:F103">
    <cfRule type="cellIs" dxfId="306" priority="15" operator="equal">
      <formula>"Улаан"</formula>
    </cfRule>
  </conditionalFormatting>
  <conditionalFormatting sqref="F22">
    <cfRule type="cellIs" dxfId="305" priority="13" operator="equal">
      <formula>"Ногоон"</formula>
    </cfRule>
    <cfRule type="cellIs" dxfId="304" priority="14" operator="equal">
      <formula>"Улаан"</formula>
    </cfRule>
  </conditionalFormatting>
  <conditionalFormatting sqref="F34">
    <cfRule type="cellIs" dxfId="303" priority="11" operator="equal">
      <formula>"Ногоон"</formula>
    </cfRule>
    <cfRule type="cellIs" dxfId="302" priority="12" operator="equal">
      <formula>"Улаан"</formula>
    </cfRule>
  </conditionalFormatting>
  <conditionalFormatting sqref="F46">
    <cfRule type="cellIs" dxfId="301" priority="9" operator="equal">
      <formula>"Ногоон"</formula>
    </cfRule>
    <cfRule type="cellIs" dxfId="300" priority="10" operator="equal">
      <formula>"Улаан"</formula>
    </cfRule>
  </conditionalFormatting>
  <conditionalFormatting sqref="F58">
    <cfRule type="cellIs" dxfId="299" priority="7" operator="equal">
      <formula>"Ногоон"</formula>
    </cfRule>
    <cfRule type="cellIs" dxfId="298" priority="8" operator="equal">
      <formula>"Улаан"</formula>
    </cfRule>
  </conditionalFormatting>
  <conditionalFormatting sqref="F70">
    <cfRule type="cellIs" dxfId="297" priority="5" operator="equal">
      <formula>"Ногоон"</formula>
    </cfRule>
    <cfRule type="cellIs" dxfId="296" priority="6" operator="equal">
      <formula>"Улаан"</formula>
    </cfRule>
  </conditionalFormatting>
  <conditionalFormatting sqref="F82">
    <cfRule type="cellIs" dxfId="295" priority="3" operator="equal">
      <formula>"Ногоон"</formula>
    </cfRule>
    <cfRule type="cellIs" dxfId="294" priority="4" operator="equal">
      <formula>"Улаан"</formula>
    </cfRule>
  </conditionalFormatting>
  <conditionalFormatting sqref="F94">
    <cfRule type="cellIs" dxfId="293" priority="1" operator="equal">
      <formula>"Ногоон"</formula>
    </cfRule>
    <cfRule type="cellIs" dxfId="292" priority="2" operator="equal">
      <formula>"Улаан"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861B-429A-4D97-B345-9CFD48D59074}">
  <dimension ref="A1:W92"/>
  <sheetViews>
    <sheetView topLeftCell="K1" workbookViewId="0">
      <selection activeCell="P35" sqref="P35"/>
    </sheetView>
  </sheetViews>
  <sheetFormatPr defaultRowHeight="15"/>
  <cols>
    <col min="15" max="15" width="9.7109375" bestFit="1" customWidth="1"/>
  </cols>
  <sheetData>
    <row r="1" spans="1:23">
      <c r="A1" s="77">
        <v>205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2"/>
      <c r="O1" s="3"/>
      <c r="P1" s="4"/>
      <c r="Q1" s="3"/>
      <c r="R1" s="3"/>
      <c r="S1" s="3"/>
      <c r="T1" s="3"/>
      <c r="U1" s="3"/>
      <c r="V1" s="3"/>
      <c r="W1" s="3"/>
    </row>
    <row r="2" spans="1:23">
      <c r="A2" s="80" t="s">
        <v>1</v>
      </c>
      <c r="B2" s="81" t="s">
        <v>2</v>
      </c>
      <c r="C2" s="82" t="s">
        <v>3</v>
      </c>
      <c r="D2" s="83"/>
      <c r="E2" s="83"/>
      <c r="F2" s="83"/>
      <c r="G2" s="84"/>
      <c r="H2" s="88" t="s">
        <v>4</v>
      </c>
      <c r="I2" s="88" t="s">
        <v>4</v>
      </c>
      <c r="J2" s="81" t="s">
        <v>5</v>
      </c>
      <c r="K2" s="89" t="s">
        <v>6</v>
      </c>
      <c r="L2" s="81" t="s">
        <v>7</v>
      </c>
      <c r="M2" s="80" t="s">
        <v>8</v>
      </c>
      <c r="N2" s="2"/>
      <c r="P2" s="5"/>
      <c r="Q2" s="2"/>
      <c r="R2" s="2"/>
      <c r="S2" s="2"/>
      <c r="U2" s="2"/>
      <c r="V2" s="2"/>
      <c r="W2" s="2"/>
    </row>
    <row r="3" spans="1:23">
      <c r="A3" s="80"/>
      <c r="B3" s="81"/>
      <c r="C3" s="85"/>
      <c r="D3" s="86"/>
      <c r="E3" s="86"/>
      <c r="F3" s="86"/>
      <c r="G3" s="87"/>
      <c r="H3" s="88"/>
      <c r="I3" s="88"/>
      <c r="J3" s="81"/>
      <c r="K3" s="89"/>
      <c r="L3" s="81"/>
      <c r="M3" s="80"/>
      <c r="N3" s="2"/>
      <c r="P3" s="90"/>
      <c r="Q3" s="90"/>
      <c r="R3" s="18"/>
      <c r="S3" s="2"/>
      <c r="T3" s="2"/>
      <c r="U3" s="2"/>
      <c r="W3" s="2"/>
    </row>
    <row r="4" spans="1:23">
      <c r="A4" s="80">
        <v>1</v>
      </c>
      <c r="B4" s="8" t="str">
        <f>INT((ROW()-4)/2)+1 &amp; TEXT(MOD(ROW()-4,2)+1,"00")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5</v>
      </c>
      <c r="H4" s="9">
        <v>11</v>
      </c>
      <c r="I4" s="10">
        <v>12</v>
      </c>
      <c r="J4" s="9">
        <v>13</v>
      </c>
      <c r="K4" s="9">
        <v>14</v>
      </c>
      <c r="L4" s="9">
        <v>15</v>
      </c>
      <c r="M4" s="91" t="s">
        <v>9</v>
      </c>
      <c r="O4" s="92">
        <v>46000</v>
      </c>
      <c r="P4" s="12" t="s">
        <v>10</v>
      </c>
      <c r="Q4" s="13">
        <f>SUM(Q5:Q7)</f>
        <v>670</v>
      </c>
      <c r="R4" s="73">
        <v>1</v>
      </c>
      <c r="T4" s="92" t="s">
        <v>9</v>
      </c>
      <c r="U4" s="12" t="s">
        <v>10</v>
      </c>
      <c r="V4" s="13">
        <f>SUM(V5:V7)</f>
        <v>90</v>
      </c>
      <c r="W4" s="73">
        <v>1</v>
      </c>
    </row>
    <row r="5" spans="1:23">
      <c r="A5" s="80"/>
      <c r="B5" s="8" t="str">
        <f t="shared" ref="B5:B47" si="0">INT((ROW()-4)/2)+1 &amp; TEXT(MOD(ROW()-4,2)+1,"00")</f>
        <v>102</v>
      </c>
      <c r="C5" s="9">
        <v>6</v>
      </c>
      <c r="D5" s="9">
        <v>7</v>
      </c>
      <c r="E5" s="9">
        <v>8</v>
      </c>
      <c r="F5" s="9">
        <v>9</v>
      </c>
      <c r="G5" s="9">
        <v>10</v>
      </c>
      <c r="H5" s="95"/>
      <c r="I5" s="96"/>
      <c r="J5" s="96"/>
      <c r="K5" s="96"/>
      <c r="L5" s="97"/>
      <c r="M5" s="91"/>
      <c r="O5" s="93"/>
      <c r="P5" s="14" t="s">
        <v>11</v>
      </c>
      <c r="Q5" s="13" cm="1">
        <f t="array" ref="Q5">CountByColor(C4:L92, P5)</f>
        <v>28</v>
      </c>
      <c r="R5" s="74">
        <v>4.1799999999999997E-2</v>
      </c>
      <c r="T5" s="93"/>
      <c r="U5" s="14" t="s">
        <v>11</v>
      </c>
      <c r="V5" s="13" cm="1">
        <f t="array" ref="V5">CountByColor(C4:L15, U5)</f>
        <v>2</v>
      </c>
      <c r="W5" s="74">
        <v>2.2200000000000001E-2</v>
      </c>
    </row>
    <row r="6" spans="1:23">
      <c r="A6" s="98">
        <v>2</v>
      </c>
      <c r="B6" s="8" t="str">
        <f t="shared" si="0"/>
        <v>201</v>
      </c>
      <c r="C6" s="11">
        <v>16</v>
      </c>
      <c r="D6" s="9">
        <v>17</v>
      </c>
      <c r="E6" s="9">
        <v>18</v>
      </c>
      <c r="F6" s="9">
        <v>19</v>
      </c>
      <c r="G6" s="9">
        <v>20</v>
      </c>
      <c r="H6" s="32">
        <v>26</v>
      </c>
      <c r="I6" s="31">
        <v>27</v>
      </c>
      <c r="J6" s="31">
        <v>28</v>
      </c>
      <c r="K6" s="31">
        <v>29</v>
      </c>
      <c r="L6" s="31">
        <v>30</v>
      </c>
      <c r="M6" s="91"/>
      <c r="O6" s="93"/>
      <c r="P6" s="15" t="s">
        <v>12</v>
      </c>
      <c r="Q6" s="13" cm="1">
        <f t="array" ref="Q6">CountByColor(C4:L92, P6)</f>
        <v>25</v>
      </c>
      <c r="R6" s="74">
        <v>3.73E-2</v>
      </c>
      <c r="T6" s="93"/>
      <c r="U6" s="15" t="s">
        <v>12</v>
      </c>
      <c r="V6" s="13" cm="1">
        <f t="array" ref="V6">CountByColor(C4:L15, U6)</f>
        <v>2</v>
      </c>
      <c r="W6" s="74">
        <v>2.2200000000000001E-2</v>
      </c>
    </row>
    <row r="7" spans="1:23">
      <c r="A7" s="99"/>
      <c r="B7" s="8" t="str">
        <f t="shared" si="0"/>
        <v>202</v>
      </c>
      <c r="C7" s="9">
        <v>21</v>
      </c>
      <c r="D7" s="9">
        <v>22</v>
      </c>
      <c r="E7" s="9">
        <v>23</v>
      </c>
      <c r="F7" s="9">
        <v>24</v>
      </c>
      <c r="G7" s="9">
        <v>25</v>
      </c>
      <c r="H7" s="95"/>
      <c r="I7" s="96"/>
      <c r="J7" s="96"/>
      <c r="K7" s="96"/>
      <c r="L7" s="97"/>
      <c r="M7" s="91"/>
      <c r="O7" s="94"/>
      <c r="P7" s="16" t="s">
        <v>13</v>
      </c>
      <c r="Q7" s="13" cm="1">
        <f t="array" ref="Q7">CountByColor(C4:L92, P7)</f>
        <v>617</v>
      </c>
      <c r="R7" s="74">
        <v>0.92090000000000005</v>
      </c>
      <c r="T7" s="94"/>
      <c r="U7" s="16" t="s">
        <v>13</v>
      </c>
      <c r="V7" s="13" cm="1">
        <f t="array" ref="V7">CountByColor(C4:L15, U7)</f>
        <v>86</v>
      </c>
      <c r="W7" s="74">
        <v>0.9556</v>
      </c>
    </row>
    <row r="8" spans="1:23">
      <c r="A8" s="98">
        <v>3</v>
      </c>
      <c r="B8" s="8" t="str">
        <f t="shared" si="0"/>
        <v>301</v>
      </c>
      <c r="C8" s="9">
        <v>31</v>
      </c>
      <c r="D8" s="9">
        <v>32</v>
      </c>
      <c r="E8" s="9">
        <v>33</v>
      </c>
      <c r="F8" s="9">
        <v>34</v>
      </c>
      <c r="G8" s="9">
        <v>35</v>
      </c>
      <c r="H8" s="9">
        <v>41</v>
      </c>
      <c r="I8" s="9">
        <v>42</v>
      </c>
      <c r="J8" s="9">
        <v>43</v>
      </c>
      <c r="K8" s="9">
        <v>44</v>
      </c>
      <c r="L8" s="9">
        <v>45</v>
      </c>
      <c r="M8" s="91"/>
      <c r="O8" s="21"/>
      <c r="U8" s="1"/>
      <c r="V8" s="1"/>
    </row>
    <row r="9" spans="1:23">
      <c r="A9" s="99"/>
      <c r="B9" s="8" t="str">
        <f t="shared" si="0"/>
        <v>302</v>
      </c>
      <c r="C9" s="9">
        <v>36</v>
      </c>
      <c r="D9" s="9">
        <v>37</v>
      </c>
      <c r="E9" s="9">
        <v>38</v>
      </c>
      <c r="F9" s="9">
        <v>39</v>
      </c>
      <c r="G9" s="9">
        <v>40</v>
      </c>
      <c r="H9" s="95"/>
      <c r="I9" s="96"/>
      <c r="J9" s="96"/>
      <c r="K9" s="96"/>
      <c r="L9" s="97"/>
      <c r="M9" s="91"/>
      <c r="T9" s="92" t="s">
        <v>14</v>
      </c>
      <c r="U9" s="12" t="s">
        <v>10</v>
      </c>
      <c r="V9" s="13">
        <f>SUM(V10:V12)</f>
        <v>90</v>
      </c>
      <c r="W9" s="73">
        <v>1</v>
      </c>
    </row>
    <row r="10" spans="1:23">
      <c r="A10" s="98">
        <v>4</v>
      </c>
      <c r="B10" s="8" t="str">
        <f t="shared" si="0"/>
        <v>401</v>
      </c>
      <c r="C10" s="9">
        <v>46</v>
      </c>
      <c r="D10" s="9">
        <v>47</v>
      </c>
      <c r="E10" s="9">
        <v>48</v>
      </c>
      <c r="F10" s="9">
        <v>49</v>
      </c>
      <c r="G10" s="9">
        <v>50</v>
      </c>
      <c r="H10" s="31">
        <v>56</v>
      </c>
      <c r="I10" s="31">
        <v>57</v>
      </c>
      <c r="J10" s="31">
        <v>58</v>
      </c>
      <c r="K10" s="31">
        <v>59</v>
      </c>
      <c r="L10" s="31">
        <v>60</v>
      </c>
      <c r="M10" s="91"/>
      <c r="T10" s="93"/>
      <c r="U10" s="14" t="s">
        <v>11</v>
      </c>
      <c r="V10" s="13" cm="1">
        <f t="array" ref="V10">CountByColor(C16:L27, U10)</f>
        <v>1</v>
      </c>
      <c r="W10" s="74">
        <v>1.11E-2</v>
      </c>
    </row>
    <row r="11" spans="1:23">
      <c r="A11" s="99"/>
      <c r="B11" s="8" t="str">
        <f t="shared" si="0"/>
        <v>402</v>
      </c>
      <c r="C11" s="9">
        <v>51</v>
      </c>
      <c r="D11" s="9">
        <v>52</v>
      </c>
      <c r="E11" s="9">
        <v>53</v>
      </c>
      <c r="F11" s="9">
        <v>54</v>
      </c>
      <c r="G11" s="9">
        <v>55</v>
      </c>
      <c r="H11" s="95"/>
      <c r="I11" s="96"/>
      <c r="J11" s="96"/>
      <c r="K11" s="96"/>
      <c r="L11" s="97"/>
      <c r="M11" s="91"/>
      <c r="T11" s="93"/>
      <c r="U11" s="15" t="s">
        <v>12</v>
      </c>
      <c r="V11" s="13" cm="1">
        <f t="array" ref="V11">CountByColor(C16:L27, U11)</f>
        <v>0</v>
      </c>
      <c r="W11" s="73">
        <v>0</v>
      </c>
    </row>
    <row r="12" spans="1:23">
      <c r="A12" s="98">
        <v>5</v>
      </c>
      <c r="B12" s="8" t="str">
        <f t="shared" si="0"/>
        <v>501</v>
      </c>
      <c r="C12" s="11">
        <v>61</v>
      </c>
      <c r="D12" s="9">
        <v>62</v>
      </c>
      <c r="E12" s="9">
        <v>63</v>
      </c>
      <c r="F12" s="9">
        <v>64</v>
      </c>
      <c r="G12" s="9">
        <v>65</v>
      </c>
      <c r="H12" s="9">
        <v>71</v>
      </c>
      <c r="I12" s="9">
        <v>72</v>
      </c>
      <c r="J12" s="9">
        <v>73</v>
      </c>
      <c r="K12" s="9">
        <v>74</v>
      </c>
      <c r="L12" s="9">
        <v>75</v>
      </c>
      <c r="M12" s="91"/>
      <c r="T12" s="94"/>
      <c r="U12" s="16" t="s">
        <v>13</v>
      </c>
      <c r="V12" s="13" cm="1">
        <f t="array" ref="V12">CountByColor(C16:L27, U12)</f>
        <v>89</v>
      </c>
      <c r="W12" s="74">
        <v>0.9889</v>
      </c>
    </row>
    <row r="13" spans="1:23">
      <c r="A13" s="99"/>
      <c r="B13" s="8" t="str">
        <f t="shared" si="0"/>
        <v>502</v>
      </c>
      <c r="C13" s="9">
        <v>66</v>
      </c>
      <c r="D13" s="9">
        <v>67</v>
      </c>
      <c r="E13" s="9">
        <v>68</v>
      </c>
      <c r="F13" s="9">
        <v>69</v>
      </c>
      <c r="G13" s="9">
        <v>70</v>
      </c>
      <c r="H13" s="95"/>
      <c r="I13" s="96"/>
      <c r="J13" s="96"/>
      <c r="K13" s="96"/>
      <c r="L13" s="97"/>
      <c r="M13" s="91"/>
      <c r="T13" s="1"/>
    </row>
    <row r="14" spans="1:23">
      <c r="A14" s="98">
        <v>6</v>
      </c>
      <c r="B14" s="8" t="str">
        <f t="shared" si="0"/>
        <v>601</v>
      </c>
      <c r="C14" s="9">
        <v>76</v>
      </c>
      <c r="D14" s="9">
        <v>77</v>
      </c>
      <c r="E14" s="9">
        <v>78</v>
      </c>
      <c r="F14" s="9">
        <v>79</v>
      </c>
      <c r="G14" s="9">
        <v>80</v>
      </c>
      <c r="H14" s="31">
        <v>86</v>
      </c>
      <c r="I14" s="31">
        <v>87</v>
      </c>
      <c r="J14" s="31">
        <v>88</v>
      </c>
      <c r="K14" s="31">
        <v>89</v>
      </c>
      <c r="L14" s="31">
        <v>90</v>
      </c>
      <c r="M14" s="91"/>
      <c r="T14" s="92" t="s">
        <v>15</v>
      </c>
      <c r="U14" s="12" t="s">
        <v>10</v>
      </c>
      <c r="V14" s="13">
        <f>SUM(V15:V17)</f>
        <v>90</v>
      </c>
      <c r="W14" s="73">
        <v>1</v>
      </c>
    </row>
    <row r="15" spans="1:23">
      <c r="A15" s="99"/>
      <c r="B15" s="8" t="str">
        <f t="shared" si="0"/>
        <v>602</v>
      </c>
      <c r="C15" s="9">
        <v>81</v>
      </c>
      <c r="D15" s="9">
        <v>82</v>
      </c>
      <c r="E15" s="9">
        <v>83</v>
      </c>
      <c r="F15" s="9">
        <v>84</v>
      </c>
      <c r="G15" s="9">
        <v>85</v>
      </c>
      <c r="H15" s="95"/>
      <c r="I15" s="96"/>
      <c r="J15" s="96"/>
      <c r="K15" s="96"/>
      <c r="L15" s="97"/>
      <c r="M15" s="91"/>
      <c r="T15" s="93"/>
      <c r="U15" s="14" t="s">
        <v>11</v>
      </c>
      <c r="V15" s="13" cm="1">
        <f t="array" ref="V15">CountByColor(C28:L39, U15)</f>
        <v>4</v>
      </c>
      <c r="W15" s="74">
        <v>4.4400000000000002E-2</v>
      </c>
    </row>
    <row r="16" spans="1:23">
      <c r="A16" s="98">
        <v>7</v>
      </c>
      <c r="B16" s="8" t="str">
        <f t="shared" si="0"/>
        <v>701</v>
      </c>
      <c r="C16" s="9">
        <v>1</v>
      </c>
      <c r="D16" s="9">
        <v>2</v>
      </c>
      <c r="E16" s="9">
        <v>3</v>
      </c>
      <c r="F16" s="9">
        <v>4</v>
      </c>
      <c r="G16" s="9">
        <v>5</v>
      </c>
      <c r="H16" s="9">
        <v>11</v>
      </c>
      <c r="I16" s="9">
        <v>12</v>
      </c>
      <c r="J16" s="9">
        <v>13</v>
      </c>
      <c r="K16" s="9">
        <v>14</v>
      </c>
      <c r="L16" s="9">
        <v>15</v>
      </c>
      <c r="M16" s="91" t="s">
        <v>14</v>
      </c>
      <c r="T16" s="93"/>
      <c r="U16" s="15" t="s">
        <v>12</v>
      </c>
      <c r="V16" s="13" cm="1">
        <f t="array" ref="V16">CountByColor(C28:L39, U16)</f>
        <v>0</v>
      </c>
      <c r="W16" s="73">
        <v>0</v>
      </c>
    </row>
    <row r="17" spans="1:23">
      <c r="A17" s="99"/>
      <c r="B17" s="8" t="str">
        <f t="shared" si="0"/>
        <v>702</v>
      </c>
      <c r="C17" s="9">
        <v>6</v>
      </c>
      <c r="D17" s="9">
        <v>7</v>
      </c>
      <c r="E17" s="9">
        <v>8</v>
      </c>
      <c r="F17" s="9">
        <v>9</v>
      </c>
      <c r="G17" s="9">
        <v>10</v>
      </c>
      <c r="H17" s="95"/>
      <c r="I17" s="96"/>
      <c r="J17" s="96"/>
      <c r="K17" s="96"/>
      <c r="L17" s="97"/>
      <c r="M17" s="91"/>
      <c r="T17" s="94"/>
      <c r="U17" s="16" t="s">
        <v>13</v>
      </c>
      <c r="V17" s="13" cm="1">
        <f t="array" ref="V17">CountByColor(C28:L39, U17)</f>
        <v>86</v>
      </c>
      <c r="W17" s="74">
        <v>0.9556</v>
      </c>
    </row>
    <row r="18" spans="1:23">
      <c r="A18" s="98">
        <v>8</v>
      </c>
      <c r="B18" s="8" t="str">
        <f t="shared" si="0"/>
        <v>801</v>
      </c>
      <c r="C18" s="9">
        <v>16</v>
      </c>
      <c r="D18" s="9">
        <v>17</v>
      </c>
      <c r="E18" s="9">
        <v>18</v>
      </c>
      <c r="F18" s="9">
        <v>19</v>
      </c>
      <c r="G18" s="9">
        <v>20</v>
      </c>
      <c r="H18" s="31">
        <v>26</v>
      </c>
      <c r="I18" s="31">
        <v>27</v>
      </c>
      <c r="J18" s="31">
        <v>28</v>
      </c>
      <c r="K18" s="31">
        <v>29</v>
      </c>
      <c r="L18" s="31">
        <v>30</v>
      </c>
      <c r="M18" s="91"/>
      <c r="T18" s="1"/>
    </row>
    <row r="19" spans="1:23">
      <c r="A19" s="99"/>
      <c r="B19" s="8" t="str">
        <f t="shared" si="0"/>
        <v>802</v>
      </c>
      <c r="C19" s="9">
        <v>21</v>
      </c>
      <c r="D19" s="9">
        <v>22</v>
      </c>
      <c r="E19" s="9">
        <v>23</v>
      </c>
      <c r="F19" s="9">
        <v>24</v>
      </c>
      <c r="G19" s="9">
        <v>25</v>
      </c>
      <c r="H19" s="95"/>
      <c r="I19" s="96"/>
      <c r="J19" s="96"/>
      <c r="K19" s="96"/>
      <c r="L19" s="97"/>
      <c r="M19" s="91"/>
      <c r="T19" s="92" t="s">
        <v>16</v>
      </c>
      <c r="U19" s="12" t="s">
        <v>10</v>
      </c>
      <c r="V19" s="13">
        <f>SUM(V20:V22)</f>
        <v>70</v>
      </c>
      <c r="W19" s="73">
        <v>1</v>
      </c>
    </row>
    <row r="20" spans="1:23">
      <c r="A20" s="98">
        <v>9</v>
      </c>
      <c r="B20" s="8" t="str">
        <f t="shared" si="0"/>
        <v>901</v>
      </c>
      <c r="C20" s="11">
        <v>31</v>
      </c>
      <c r="D20" s="9">
        <v>32</v>
      </c>
      <c r="E20" s="9">
        <v>33</v>
      </c>
      <c r="F20" s="9">
        <v>34</v>
      </c>
      <c r="G20" s="9">
        <v>35</v>
      </c>
      <c r="H20" s="9">
        <v>41</v>
      </c>
      <c r="I20" s="9">
        <v>42</v>
      </c>
      <c r="J20" s="9">
        <v>43</v>
      </c>
      <c r="K20" s="9">
        <v>44</v>
      </c>
      <c r="L20" s="9">
        <v>45</v>
      </c>
      <c r="M20" s="91"/>
      <c r="T20" s="93"/>
      <c r="U20" s="14" t="s">
        <v>11</v>
      </c>
      <c r="V20" s="13" cm="1">
        <f t="array" ref="V20">CountByColor(C40:L48, U20)</f>
        <v>4</v>
      </c>
      <c r="W20" s="74">
        <v>5.7099999999999998E-2</v>
      </c>
    </row>
    <row r="21" spans="1:23">
      <c r="A21" s="99"/>
      <c r="B21" s="8" t="str">
        <f t="shared" si="0"/>
        <v>902</v>
      </c>
      <c r="C21" s="9">
        <v>36</v>
      </c>
      <c r="D21" s="9">
        <v>37</v>
      </c>
      <c r="E21" s="9">
        <v>38</v>
      </c>
      <c r="F21" s="9">
        <v>39</v>
      </c>
      <c r="G21" s="9">
        <v>40</v>
      </c>
      <c r="H21" s="95"/>
      <c r="I21" s="96"/>
      <c r="J21" s="96"/>
      <c r="K21" s="96"/>
      <c r="L21" s="97"/>
      <c r="M21" s="91"/>
      <c r="S21" s="1"/>
      <c r="T21" s="93"/>
      <c r="U21" s="15" t="s">
        <v>12</v>
      </c>
      <c r="V21" s="13" cm="1">
        <f t="array" ref="V21">CountByColor(C40:L48, U21)</f>
        <v>4</v>
      </c>
      <c r="W21" s="74">
        <v>5.7099999999999998E-2</v>
      </c>
    </row>
    <row r="22" spans="1:23">
      <c r="A22" s="98">
        <v>10</v>
      </c>
      <c r="B22" s="8" t="str">
        <f t="shared" si="0"/>
        <v>1001</v>
      </c>
      <c r="C22" s="9">
        <v>46</v>
      </c>
      <c r="D22" s="9">
        <v>47</v>
      </c>
      <c r="E22" s="9">
        <v>48</v>
      </c>
      <c r="F22" s="9">
        <v>49</v>
      </c>
      <c r="G22" s="9">
        <v>50</v>
      </c>
      <c r="H22" s="31">
        <v>56</v>
      </c>
      <c r="I22" s="31">
        <v>57</v>
      </c>
      <c r="J22" s="31">
        <v>58</v>
      </c>
      <c r="K22" s="31">
        <v>59</v>
      </c>
      <c r="L22" s="31">
        <v>60</v>
      </c>
      <c r="M22" s="91"/>
      <c r="T22" s="94"/>
      <c r="U22" s="16" t="s">
        <v>13</v>
      </c>
      <c r="V22" s="13" cm="1">
        <f t="array" ref="V22">CountByColor(C40:L48, U22)</f>
        <v>62</v>
      </c>
      <c r="W22" s="74">
        <v>0.88570000000000004</v>
      </c>
    </row>
    <row r="23" spans="1:23">
      <c r="A23" s="99"/>
      <c r="B23" s="8" t="str">
        <f t="shared" si="0"/>
        <v>1002</v>
      </c>
      <c r="C23" s="9">
        <v>51</v>
      </c>
      <c r="D23" s="9">
        <v>52</v>
      </c>
      <c r="E23" s="9">
        <v>53</v>
      </c>
      <c r="F23" s="9">
        <v>54</v>
      </c>
      <c r="G23" s="9">
        <v>55</v>
      </c>
      <c r="H23" s="95"/>
      <c r="I23" s="96"/>
      <c r="J23" s="96"/>
      <c r="K23" s="96"/>
      <c r="L23" s="97"/>
      <c r="M23" s="91"/>
      <c r="T23" s="1"/>
    </row>
    <row r="24" spans="1:23">
      <c r="A24" s="98">
        <v>11</v>
      </c>
      <c r="B24" s="8" t="str">
        <f t="shared" si="0"/>
        <v>1101</v>
      </c>
      <c r="C24" s="9">
        <v>61</v>
      </c>
      <c r="D24" s="9">
        <v>62</v>
      </c>
      <c r="E24" s="9">
        <v>63</v>
      </c>
      <c r="F24" s="9">
        <v>64</v>
      </c>
      <c r="G24" s="9">
        <v>65</v>
      </c>
      <c r="H24" s="9">
        <v>71</v>
      </c>
      <c r="I24" s="9">
        <v>72</v>
      </c>
      <c r="J24" s="9">
        <v>73</v>
      </c>
      <c r="K24" s="9">
        <v>74</v>
      </c>
      <c r="L24" s="9">
        <v>75</v>
      </c>
      <c r="M24" s="91"/>
      <c r="T24" s="92" t="s">
        <v>19</v>
      </c>
      <c r="U24" s="12" t="s">
        <v>10</v>
      </c>
      <c r="V24" s="13">
        <f>SUM(V25:V27)</f>
        <v>90</v>
      </c>
      <c r="W24" s="73">
        <v>1</v>
      </c>
    </row>
    <row r="25" spans="1:23">
      <c r="A25" s="99"/>
      <c r="B25" s="8" t="str">
        <f t="shared" si="0"/>
        <v>1102</v>
      </c>
      <c r="C25" s="9">
        <v>66</v>
      </c>
      <c r="D25" s="9">
        <v>67</v>
      </c>
      <c r="E25" s="9">
        <v>68</v>
      </c>
      <c r="F25" s="9">
        <v>69</v>
      </c>
      <c r="G25" s="9">
        <v>70</v>
      </c>
      <c r="H25" s="95"/>
      <c r="I25" s="96"/>
      <c r="J25" s="96"/>
      <c r="K25" s="96"/>
      <c r="L25" s="97"/>
      <c r="M25" s="91"/>
      <c r="T25" s="93"/>
      <c r="U25" s="14" t="s">
        <v>11</v>
      </c>
      <c r="V25" s="13" cm="1">
        <f t="array" ref="V25">CountByColor(C49:L60, U25)</f>
        <v>5</v>
      </c>
      <c r="W25" s="74">
        <v>5.5599999999999997E-2</v>
      </c>
    </row>
    <row r="26" spans="1:23">
      <c r="A26" s="98">
        <v>12</v>
      </c>
      <c r="B26" s="8" t="str">
        <f t="shared" si="0"/>
        <v>1201</v>
      </c>
      <c r="C26" s="9">
        <v>76</v>
      </c>
      <c r="D26" s="9">
        <v>77</v>
      </c>
      <c r="E26" s="9">
        <v>78</v>
      </c>
      <c r="F26" s="9">
        <v>79</v>
      </c>
      <c r="G26" s="9">
        <v>80</v>
      </c>
      <c r="H26" s="31">
        <v>86</v>
      </c>
      <c r="I26" s="31">
        <v>87</v>
      </c>
      <c r="J26" s="31">
        <v>88</v>
      </c>
      <c r="K26" s="31">
        <v>89</v>
      </c>
      <c r="L26" s="31">
        <v>90</v>
      </c>
      <c r="M26" s="91"/>
      <c r="T26" s="93"/>
      <c r="U26" s="15" t="s">
        <v>12</v>
      </c>
      <c r="V26" s="13" cm="1">
        <f t="array" ref="V26">CountByColor(C49:L60, U26)</f>
        <v>4</v>
      </c>
      <c r="W26" s="74">
        <v>4.4400000000000002E-2</v>
      </c>
    </row>
    <row r="27" spans="1:23">
      <c r="A27" s="99"/>
      <c r="B27" s="8" t="str">
        <f t="shared" si="0"/>
        <v>1202</v>
      </c>
      <c r="C27" s="9">
        <v>81</v>
      </c>
      <c r="D27" s="9">
        <v>82</v>
      </c>
      <c r="E27" s="9">
        <v>83</v>
      </c>
      <c r="F27" s="9">
        <v>84</v>
      </c>
      <c r="G27" s="9">
        <v>85</v>
      </c>
      <c r="H27" s="95"/>
      <c r="I27" s="96"/>
      <c r="J27" s="96"/>
      <c r="K27" s="96"/>
      <c r="L27" s="97"/>
      <c r="M27" s="91"/>
      <c r="T27" s="94"/>
      <c r="U27" s="16" t="s">
        <v>13</v>
      </c>
      <c r="V27" s="13" cm="1">
        <f t="array" ref="V27">CountByColor(C49:L60, U27)</f>
        <v>81</v>
      </c>
      <c r="W27" s="74">
        <v>0.9</v>
      </c>
    </row>
    <row r="28" spans="1:23">
      <c r="A28" s="98">
        <v>13</v>
      </c>
      <c r="B28" s="8" t="str">
        <f t="shared" si="0"/>
        <v>1301</v>
      </c>
      <c r="C28" s="9">
        <v>1</v>
      </c>
      <c r="D28" s="9">
        <v>2</v>
      </c>
      <c r="E28" s="9">
        <v>3</v>
      </c>
      <c r="F28" s="9">
        <v>4</v>
      </c>
      <c r="G28" s="9">
        <v>5</v>
      </c>
      <c r="H28" s="9">
        <v>11</v>
      </c>
      <c r="I28" s="9">
        <v>12</v>
      </c>
      <c r="J28" s="9">
        <v>13</v>
      </c>
      <c r="K28" s="9">
        <v>14</v>
      </c>
      <c r="L28" s="9">
        <v>15</v>
      </c>
      <c r="M28" s="91" t="s">
        <v>15</v>
      </c>
      <c r="T28" s="1"/>
    </row>
    <row r="29" spans="1:23">
      <c r="A29" s="99"/>
      <c r="B29" s="8" t="str">
        <f t="shared" si="0"/>
        <v>1302</v>
      </c>
      <c r="C29" s="9">
        <v>6</v>
      </c>
      <c r="D29" s="9">
        <v>7</v>
      </c>
      <c r="E29" s="9">
        <v>8</v>
      </c>
      <c r="F29" s="9">
        <v>9</v>
      </c>
      <c r="G29" s="9">
        <v>10</v>
      </c>
      <c r="H29" s="95"/>
      <c r="I29" s="96"/>
      <c r="J29" s="96"/>
      <c r="K29" s="96"/>
      <c r="L29" s="97"/>
      <c r="M29" s="91"/>
      <c r="T29" s="92" t="s">
        <v>20</v>
      </c>
      <c r="U29" s="12" t="s">
        <v>10</v>
      </c>
      <c r="V29" s="13">
        <f>SUM(V30:V32)</f>
        <v>90</v>
      </c>
      <c r="W29" s="73">
        <v>1</v>
      </c>
    </row>
    <row r="30" spans="1:23">
      <c r="A30" s="98">
        <v>14</v>
      </c>
      <c r="B30" s="8" t="str">
        <f t="shared" si="0"/>
        <v>1401</v>
      </c>
      <c r="C30" s="9">
        <v>16</v>
      </c>
      <c r="D30" s="9">
        <v>17</v>
      </c>
      <c r="E30" s="9">
        <v>18</v>
      </c>
      <c r="F30" s="9">
        <v>19</v>
      </c>
      <c r="G30" s="9">
        <v>20</v>
      </c>
      <c r="H30" s="31">
        <v>26</v>
      </c>
      <c r="I30" s="31">
        <v>27</v>
      </c>
      <c r="J30" s="31">
        <v>28</v>
      </c>
      <c r="K30" s="31">
        <v>29</v>
      </c>
      <c r="L30" s="31">
        <v>30</v>
      </c>
      <c r="M30" s="91"/>
      <c r="T30" s="93"/>
      <c r="U30" s="14" t="s">
        <v>11</v>
      </c>
      <c r="V30" s="13" cm="1">
        <f t="array" ref="V30">CountByColor(C61:L72, U30)</f>
        <v>5</v>
      </c>
      <c r="W30" s="74">
        <v>5.5599999999999997E-2</v>
      </c>
    </row>
    <row r="31" spans="1:23">
      <c r="A31" s="99"/>
      <c r="B31" s="8" t="str">
        <f t="shared" si="0"/>
        <v>1402</v>
      </c>
      <c r="C31" s="9">
        <v>21</v>
      </c>
      <c r="D31" s="9">
        <v>22</v>
      </c>
      <c r="E31" s="9">
        <v>23</v>
      </c>
      <c r="F31" s="9">
        <v>24</v>
      </c>
      <c r="G31" s="11">
        <v>25</v>
      </c>
      <c r="H31" s="95"/>
      <c r="I31" s="96"/>
      <c r="J31" s="96"/>
      <c r="K31" s="96"/>
      <c r="L31" s="97"/>
      <c r="M31" s="91"/>
      <c r="P31" s="6"/>
      <c r="T31" s="93"/>
      <c r="U31" s="15" t="s">
        <v>12</v>
      </c>
      <c r="V31" s="13" cm="1">
        <f t="array" ref="V31">CountByColor(C61:L72, U31)</f>
        <v>3</v>
      </c>
      <c r="W31" s="74">
        <v>3.3300000000000003E-2</v>
      </c>
    </row>
    <row r="32" spans="1:23">
      <c r="A32" s="98">
        <v>15</v>
      </c>
      <c r="B32" s="8" t="str">
        <f t="shared" si="0"/>
        <v>1501</v>
      </c>
      <c r="C32" s="11">
        <v>31</v>
      </c>
      <c r="D32" s="9">
        <v>32</v>
      </c>
      <c r="E32" s="9">
        <v>33</v>
      </c>
      <c r="F32" s="9">
        <v>34</v>
      </c>
      <c r="G32" s="9">
        <v>35</v>
      </c>
      <c r="H32" s="9">
        <v>41</v>
      </c>
      <c r="I32" s="9">
        <v>42</v>
      </c>
      <c r="J32" s="9">
        <v>43</v>
      </c>
      <c r="K32" s="9">
        <v>44</v>
      </c>
      <c r="L32" s="9">
        <v>45</v>
      </c>
      <c r="M32" s="91"/>
      <c r="P32" s="6"/>
      <c r="T32" s="94"/>
      <c r="U32" s="16" t="s">
        <v>13</v>
      </c>
      <c r="V32" s="13" cm="1">
        <f t="array" ref="V32">CountByColor(C61:L72, U32)</f>
        <v>82</v>
      </c>
      <c r="W32" s="74">
        <v>0.91110000000000002</v>
      </c>
    </row>
    <row r="33" spans="1:23">
      <c r="A33" s="99"/>
      <c r="B33" s="8" t="str">
        <f t="shared" si="0"/>
        <v>1502</v>
      </c>
      <c r="C33" s="9">
        <v>36</v>
      </c>
      <c r="D33" s="9">
        <v>37</v>
      </c>
      <c r="E33" s="9">
        <v>38</v>
      </c>
      <c r="F33" s="9">
        <v>39</v>
      </c>
      <c r="G33" s="9">
        <v>40</v>
      </c>
      <c r="H33" s="95"/>
      <c r="I33" s="96"/>
      <c r="J33" s="96"/>
      <c r="K33" s="96"/>
      <c r="L33" s="97"/>
      <c r="M33" s="91"/>
      <c r="P33" s="6"/>
      <c r="T33" s="1"/>
    </row>
    <row r="34" spans="1:23">
      <c r="A34" s="98">
        <v>16</v>
      </c>
      <c r="B34" s="8" t="str">
        <f t="shared" si="0"/>
        <v>1601</v>
      </c>
      <c r="C34" s="11">
        <v>46</v>
      </c>
      <c r="D34" s="9">
        <v>47</v>
      </c>
      <c r="E34" s="9">
        <v>48</v>
      </c>
      <c r="F34" s="9">
        <v>49</v>
      </c>
      <c r="G34" s="9">
        <v>50</v>
      </c>
      <c r="H34" s="31">
        <v>56</v>
      </c>
      <c r="I34" s="31">
        <v>57</v>
      </c>
      <c r="J34" s="31">
        <v>58</v>
      </c>
      <c r="K34" s="31">
        <v>59</v>
      </c>
      <c r="L34" s="31">
        <v>60</v>
      </c>
      <c r="M34" s="91"/>
      <c r="P34" s="6"/>
      <c r="T34" s="92" t="s">
        <v>21</v>
      </c>
      <c r="U34" s="12" t="s">
        <v>10</v>
      </c>
      <c r="V34" s="13">
        <f>SUM(V35:V37)</f>
        <v>90</v>
      </c>
      <c r="W34" s="73">
        <v>1</v>
      </c>
    </row>
    <row r="35" spans="1:23">
      <c r="A35" s="99"/>
      <c r="B35" s="8" t="str">
        <f t="shared" si="0"/>
        <v>1602</v>
      </c>
      <c r="C35" s="9">
        <v>51</v>
      </c>
      <c r="D35" s="9">
        <v>52</v>
      </c>
      <c r="E35" s="9">
        <v>53</v>
      </c>
      <c r="F35" s="9">
        <v>54</v>
      </c>
      <c r="G35" s="11">
        <v>55</v>
      </c>
      <c r="H35" s="95"/>
      <c r="I35" s="96"/>
      <c r="J35" s="96"/>
      <c r="K35" s="96"/>
      <c r="L35" s="97"/>
      <c r="M35" s="91"/>
      <c r="P35" s="6"/>
      <c r="T35" s="93"/>
      <c r="U35" s="14" t="s">
        <v>11</v>
      </c>
      <c r="V35" s="13" cm="1">
        <f t="array" ref="V35">CountByColor(C73:L84, U35)</f>
        <v>5</v>
      </c>
      <c r="W35" s="74">
        <v>5.5599999999999997E-2</v>
      </c>
    </row>
    <row r="36" spans="1:23">
      <c r="A36" s="98">
        <v>17</v>
      </c>
      <c r="B36" s="8" t="str">
        <f t="shared" si="0"/>
        <v>1701</v>
      </c>
      <c r="C36" s="9">
        <v>61</v>
      </c>
      <c r="D36" s="9">
        <v>62</v>
      </c>
      <c r="E36" s="9">
        <v>63</v>
      </c>
      <c r="F36" s="9">
        <v>64</v>
      </c>
      <c r="G36" s="9">
        <v>65</v>
      </c>
      <c r="H36" s="9">
        <v>71</v>
      </c>
      <c r="I36" s="9">
        <v>72</v>
      </c>
      <c r="J36" s="9">
        <v>73</v>
      </c>
      <c r="K36" s="9">
        <v>74</v>
      </c>
      <c r="L36" s="9">
        <v>75</v>
      </c>
      <c r="M36" s="91"/>
      <c r="O36" s="1"/>
      <c r="P36" s="6"/>
      <c r="T36" s="93"/>
      <c r="U36" s="15" t="s">
        <v>12</v>
      </c>
      <c r="V36" s="13" cm="1">
        <f t="array" ref="V36">CountByColor(C73:L84, U36)</f>
        <v>8</v>
      </c>
      <c r="W36" s="74">
        <v>8.8900000000000007E-2</v>
      </c>
    </row>
    <row r="37" spans="1:23">
      <c r="A37" s="99"/>
      <c r="B37" s="8" t="str">
        <f t="shared" si="0"/>
        <v>1702</v>
      </c>
      <c r="C37" s="9">
        <v>66</v>
      </c>
      <c r="D37" s="9">
        <v>67</v>
      </c>
      <c r="E37" s="9">
        <v>68</v>
      </c>
      <c r="F37" s="9">
        <v>69</v>
      </c>
      <c r="G37" s="9">
        <v>70</v>
      </c>
      <c r="H37" s="95"/>
      <c r="I37" s="96"/>
      <c r="J37" s="96"/>
      <c r="K37" s="96"/>
      <c r="L37" s="97"/>
      <c r="M37" s="91"/>
      <c r="O37" s="1"/>
      <c r="P37" s="6"/>
      <c r="T37" s="94"/>
      <c r="U37" s="16" t="s">
        <v>13</v>
      </c>
      <c r="V37" s="13" cm="1">
        <f t="array" ref="V37">CountByColor(C73:L84, U37)</f>
        <v>77</v>
      </c>
      <c r="W37" s="74">
        <v>0.85560000000000003</v>
      </c>
    </row>
    <row r="38" spans="1:23">
      <c r="A38" s="98">
        <v>18</v>
      </c>
      <c r="B38" s="8" t="str">
        <f t="shared" si="0"/>
        <v>1801</v>
      </c>
      <c r="C38" s="9">
        <v>76</v>
      </c>
      <c r="D38" s="9">
        <v>77</v>
      </c>
      <c r="E38" s="9">
        <v>78</v>
      </c>
      <c r="F38" s="9">
        <v>79</v>
      </c>
      <c r="G38" s="9">
        <v>80</v>
      </c>
      <c r="H38" s="31">
        <v>86</v>
      </c>
      <c r="I38" s="31">
        <v>87</v>
      </c>
      <c r="J38" s="31">
        <v>88</v>
      </c>
      <c r="K38" s="31">
        <v>89</v>
      </c>
      <c r="L38" s="31">
        <v>90</v>
      </c>
      <c r="M38" s="91"/>
      <c r="O38" s="1"/>
      <c r="T38" s="1"/>
    </row>
    <row r="39" spans="1:23">
      <c r="A39" s="99"/>
      <c r="B39" s="8" t="str">
        <f t="shared" si="0"/>
        <v>1802</v>
      </c>
      <c r="C39" s="9">
        <v>81</v>
      </c>
      <c r="D39" s="9">
        <v>82</v>
      </c>
      <c r="E39" s="9">
        <v>83</v>
      </c>
      <c r="F39" s="9">
        <v>84</v>
      </c>
      <c r="G39" s="9">
        <v>85</v>
      </c>
      <c r="H39" s="95"/>
      <c r="I39" s="96"/>
      <c r="J39" s="96"/>
      <c r="K39" s="96"/>
      <c r="L39" s="97"/>
      <c r="M39" s="91"/>
      <c r="O39" s="17"/>
      <c r="T39" s="92" t="s">
        <v>22</v>
      </c>
      <c r="U39" s="12" t="s">
        <v>10</v>
      </c>
      <c r="V39" s="13">
        <f>SUM(V40:V42)</f>
        <v>60</v>
      </c>
      <c r="W39" s="73">
        <v>1</v>
      </c>
    </row>
    <row r="40" spans="1:23">
      <c r="A40" s="98">
        <v>19</v>
      </c>
      <c r="B40" s="8" t="str">
        <f t="shared" si="0"/>
        <v>1901</v>
      </c>
      <c r="C40" s="11">
        <v>1</v>
      </c>
      <c r="D40" s="9">
        <v>2</v>
      </c>
      <c r="E40" s="9">
        <v>3</v>
      </c>
      <c r="F40" s="9">
        <v>4</v>
      </c>
      <c r="G40" s="9">
        <v>5</v>
      </c>
      <c r="H40" s="9">
        <v>11</v>
      </c>
      <c r="I40" s="9">
        <v>12</v>
      </c>
      <c r="J40" s="9">
        <v>13</v>
      </c>
      <c r="K40" s="9">
        <v>14</v>
      </c>
      <c r="L40" s="9">
        <v>15</v>
      </c>
      <c r="M40" s="100" t="s">
        <v>16</v>
      </c>
      <c r="N40" s="1"/>
      <c r="O40" s="6"/>
      <c r="S40" s="1"/>
      <c r="T40" s="93"/>
      <c r="U40" s="14" t="s">
        <v>11</v>
      </c>
      <c r="V40" s="13" cm="1">
        <f t="array" ref="V40">CountByColor(C85:L92, U40)</f>
        <v>2</v>
      </c>
      <c r="W40" s="74">
        <v>3.3300000000000003E-2</v>
      </c>
    </row>
    <row r="41" spans="1:23">
      <c r="A41" s="99"/>
      <c r="B41" s="8" t="str">
        <f t="shared" si="0"/>
        <v>1902</v>
      </c>
      <c r="C41" s="10">
        <v>6</v>
      </c>
      <c r="D41" s="9">
        <v>7</v>
      </c>
      <c r="E41" s="9">
        <v>8</v>
      </c>
      <c r="F41" s="9">
        <v>9</v>
      </c>
      <c r="G41" s="9">
        <v>10</v>
      </c>
      <c r="H41" s="95"/>
      <c r="I41" s="96"/>
      <c r="J41" s="96"/>
      <c r="K41" s="96"/>
      <c r="L41" s="97"/>
      <c r="M41" s="101"/>
      <c r="N41" s="1"/>
      <c r="O41" s="6"/>
      <c r="S41" s="1"/>
      <c r="T41" s="93"/>
      <c r="U41" s="15" t="s">
        <v>12</v>
      </c>
      <c r="V41" s="13" cm="1">
        <f t="array" ref="V41">CountByColor(C85:L92, U41)</f>
        <v>4</v>
      </c>
      <c r="W41" s="74">
        <v>6.6699999999999995E-2</v>
      </c>
    </row>
    <row r="42" spans="1:23">
      <c r="A42" s="98">
        <v>20</v>
      </c>
      <c r="B42" s="8" t="str">
        <f t="shared" si="0"/>
        <v>2001</v>
      </c>
      <c r="C42" s="9">
        <v>16</v>
      </c>
      <c r="D42" s="9">
        <v>17</v>
      </c>
      <c r="E42" s="9">
        <v>18</v>
      </c>
      <c r="F42" s="9">
        <v>19</v>
      </c>
      <c r="G42" s="9">
        <v>20</v>
      </c>
      <c r="H42" s="61">
        <v>26</v>
      </c>
      <c r="I42" s="31">
        <v>27</v>
      </c>
      <c r="J42" s="31">
        <v>28</v>
      </c>
      <c r="K42" s="31">
        <v>29</v>
      </c>
      <c r="L42" s="31">
        <v>30</v>
      </c>
      <c r="M42" s="101"/>
      <c r="N42" s="1"/>
      <c r="O42" s="6"/>
      <c r="S42" s="1"/>
      <c r="T42" s="94"/>
      <c r="U42" s="16" t="s">
        <v>13</v>
      </c>
      <c r="V42" s="13" cm="1">
        <f t="array" ref="V42">CountByColor(C85:L92, U42)</f>
        <v>54</v>
      </c>
      <c r="W42" s="74">
        <v>0.9</v>
      </c>
    </row>
    <row r="43" spans="1:23">
      <c r="A43" s="99"/>
      <c r="B43" s="8" t="str">
        <f t="shared" si="0"/>
        <v>2002</v>
      </c>
      <c r="C43" s="9">
        <v>21</v>
      </c>
      <c r="D43" s="9">
        <v>22</v>
      </c>
      <c r="E43" s="9">
        <v>23</v>
      </c>
      <c r="F43" s="9">
        <v>24</v>
      </c>
      <c r="G43" s="9">
        <v>25</v>
      </c>
      <c r="H43" s="95"/>
      <c r="I43" s="96"/>
      <c r="J43" s="96"/>
      <c r="K43" s="96"/>
      <c r="L43" s="97"/>
      <c r="M43" s="101"/>
      <c r="N43" s="1"/>
      <c r="O43" s="6"/>
      <c r="S43" s="1"/>
    </row>
    <row r="44" spans="1:23">
      <c r="A44" s="98">
        <v>21</v>
      </c>
      <c r="B44" s="8" t="str">
        <f t="shared" si="0"/>
        <v>2101</v>
      </c>
      <c r="C44" s="9">
        <v>31</v>
      </c>
      <c r="D44" s="9">
        <v>32</v>
      </c>
      <c r="E44" s="9">
        <v>33</v>
      </c>
      <c r="F44" s="9">
        <v>34</v>
      </c>
      <c r="G44" s="9">
        <v>35</v>
      </c>
      <c r="H44" s="9">
        <v>41</v>
      </c>
      <c r="I44" s="9">
        <v>42</v>
      </c>
      <c r="J44" s="9">
        <v>43</v>
      </c>
      <c r="K44" s="9">
        <v>44</v>
      </c>
      <c r="L44" s="9">
        <v>45</v>
      </c>
      <c r="M44" s="101"/>
      <c r="N44" s="1"/>
      <c r="O44" s="6"/>
      <c r="S44" s="1"/>
    </row>
    <row r="45" spans="1:23">
      <c r="A45" s="99"/>
      <c r="B45" s="8" t="str">
        <f t="shared" si="0"/>
        <v>2102</v>
      </c>
      <c r="C45" s="9">
        <v>36</v>
      </c>
      <c r="D45" s="9">
        <v>37</v>
      </c>
      <c r="E45" s="10">
        <v>38</v>
      </c>
      <c r="F45" s="9">
        <v>39</v>
      </c>
      <c r="G45" s="9">
        <v>40</v>
      </c>
      <c r="H45" s="95"/>
      <c r="I45" s="96"/>
      <c r="J45" s="96"/>
      <c r="K45" s="96"/>
      <c r="L45" s="97"/>
      <c r="M45" s="101"/>
      <c r="N45" s="1"/>
      <c r="O45" s="6"/>
      <c r="S45" s="1"/>
    </row>
    <row r="46" spans="1:23">
      <c r="A46" s="98">
        <v>22</v>
      </c>
      <c r="B46" s="8" t="str">
        <f t="shared" si="0"/>
        <v>2201</v>
      </c>
      <c r="C46" s="9">
        <v>46</v>
      </c>
      <c r="D46" s="9">
        <v>47</v>
      </c>
      <c r="E46" s="9">
        <v>48</v>
      </c>
      <c r="F46" s="9">
        <v>49</v>
      </c>
      <c r="G46" s="10">
        <v>50</v>
      </c>
      <c r="H46" s="31">
        <v>56</v>
      </c>
      <c r="I46" s="31">
        <v>57</v>
      </c>
      <c r="J46" s="31">
        <v>58</v>
      </c>
      <c r="K46" s="31">
        <v>59</v>
      </c>
      <c r="L46" s="31">
        <v>60</v>
      </c>
      <c r="M46" s="101"/>
      <c r="N46" s="1"/>
      <c r="O46" s="6"/>
      <c r="S46" s="1"/>
    </row>
    <row r="47" spans="1:23">
      <c r="A47" s="99"/>
      <c r="B47" s="8" t="str">
        <f t="shared" si="0"/>
        <v>2202</v>
      </c>
      <c r="C47" s="9">
        <v>51</v>
      </c>
      <c r="D47" s="9">
        <v>52</v>
      </c>
      <c r="E47" s="9">
        <v>53</v>
      </c>
      <c r="F47" s="10">
        <v>54</v>
      </c>
      <c r="G47" s="9">
        <v>55</v>
      </c>
      <c r="H47" s="95"/>
      <c r="I47" s="96"/>
      <c r="J47" s="96"/>
      <c r="K47" s="96"/>
      <c r="L47" s="97"/>
      <c r="M47" s="101"/>
      <c r="N47" s="1"/>
      <c r="O47" s="6"/>
      <c r="S47" s="1"/>
    </row>
    <row r="48" spans="1:23">
      <c r="A48" s="65">
        <v>23</v>
      </c>
      <c r="B48" s="65" t="s">
        <v>23</v>
      </c>
      <c r="C48" s="9">
        <v>61</v>
      </c>
      <c r="D48" s="11">
        <v>62</v>
      </c>
      <c r="E48" s="9">
        <v>63</v>
      </c>
      <c r="F48" s="11">
        <v>64</v>
      </c>
      <c r="G48" s="9"/>
      <c r="H48" s="9"/>
      <c r="I48" s="9"/>
      <c r="J48" s="9">
        <v>65</v>
      </c>
      <c r="K48" s="9">
        <v>66</v>
      </c>
      <c r="L48" s="9">
        <v>67</v>
      </c>
      <c r="M48" s="102"/>
      <c r="N48" s="1"/>
      <c r="O48" s="6"/>
      <c r="P48" s="6"/>
      <c r="S48" s="1"/>
    </row>
    <row r="49" spans="1:16">
      <c r="A49" s="80">
        <v>1</v>
      </c>
      <c r="B49" s="8">
        <f>(INT((ROW()-49)/2)+1)*100 + (MOD(ROW()-49,2)+3)</f>
        <v>103</v>
      </c>
      <c r="C49" s="9">
        <v>1</v>
      </c>
      <c r="D49" s="9">
        <v>2</v>
      </c>
      <c r="E49" s="9">
        <v>3</v>
      </c>
      <c r="F49" s="9">
        <v>4</v>
      </c>
      <c r="G49" s="9">
        <v>5</v>
      </c>
      <c r="H49" s="10">
        <v>11</v>
      </c>
      <c r="I49" s="9">
        <v>12</v>
      </c>
      <c r="J49" s="9">
        <v>13</v>
      </c>
      <c r="K49" s="9">
        <v>14</v>
      </c>
      <c r="L49" s="9">
        <v>15</v>
      </c>
      <c r="M49" s="91" t="s">
        <v>18</v>
      </c>
      <c r="P49" s="6"/>
    </row>
    <row r="50" spans="1:16">
      <c r="A50" s="80"/>
      <c r="B50" s="8">
        <f t="shared" ref="B50:B92" si="1">(INT((ROW()-49)/2)+1)*100 + (MOD(ROW()-49,2)+3)</f>
        <v>104</v>
      </c>
      <c r="C50" s="9">
        <v>6</v>
      </c>
      <c r="D50" s="9">
        <v>7</v>
      </c>
      <c r="E50" s="9">
        <v>8</v>
      </c>
      <c r="F50" s="9">
        <v>9</v>
      </c>
      <c r="G50" s="11">
        <v>10</v>
      </c>
      <c r="H50" s="95"/>
      <c r="I50" s="96"/>
      <c r="J50" s="96"/>
      <c r="K50" s="96"/>
      <c r="L50" s="97"/>
      <c r="M50" s="91"/>
      <c r="P50" s="6"/>
    </row>
    <row r="51" spans="1:16">
      <c r="A51" s="80">
        <v>2</v>
      </c>
      <c r="B51" s="8">
        <f t="shared" si="1"/>
        <v>203</v>
      </c>
      <c r="C51" s="9">
        <v>16</v>
      </c>
      <c r="D51" s="9">
        <v>17</v>
      </c>
      <c r="E51" s="9">
        <v>18</v>
      </c>
      <c r="F51" s="9">
        <v>19</v>
      </c>
      <c r="G51" s="9">
        <v>20</v>
      </c>
      <c r="H51" s="31">
        <v>26</v>
      </c>
      <c r="I51" s="31">
        <v>27</v>
      </c>
      <c r="J51" s="31">
        <v>28</v>
      </c>
      <c r="K51" s="31">
        <v>29</v>
      </c>
      <c r="L51" s="31">
        <v>30</v>
      </c>
      <c r="M51" s="91"/>
      <c r="P51" s="6"/>
    </row>
    <row r="52" spans="1:16">
      <c r="A52" s="80"/>
      <c r="B52" s="8">
        <f t="shared" si="1"/>
        <v>204</v>
      </c>
      <c r="C52" s="9">
        <v>21</v>
      </c>
      <c r="D52" s="9">
        <v>22</v>
      </c>
      <c r="E52" s="9">
        <v>23</v>
      </c>
      <c r="F52" s="9">
        <v>24</v>
      </c>
      <c r="G52" s="11">
        <v>25</v>
      </c>
      <c r="H52" s="103"/>
      <c r="I52" s="104"/>
      <c r="J52" s="104"/>
      <c r="K52" s="104"/>
      <c r="L52" s="105"/>
      <c r="M52" s="91"/>
      <c r="P52" s="6"/>
    </row>
    <row r="53" spans="1:16">
      <c r="A53" s="80">
        <v>3</v>
      </c>
      <c r="B53" s="8">
        <f t="shared" si="1"/>
        <v>303</v>
      </c>
      <c r="C53" s="11">
        <v>31</v>
      </c>
      <c r="D53" s="9">
        <v>32</v>
      </c>
      <c r="E53" s="9">
        <v>33</v>
      </c>
      <c r="F53" s="9">
        <v>34</v>
      </c>
      <c r="G53" s="9">
        <v>35</v>
      </c>
      <c r="H53" s="9">
        <v>41</v>
      </c>
      <c r="I53" s="9">
        <v>42</v>
      </c>
      <c r="J53" s="9">
        <v>43</v>
      </c>
      <c r="K53" s="9">
        <v>44</v>
      </c>
      <c r="L53" s="9">
        <v>45</v>
      </c>
      <c r="M53" s="91"/>
      <c r="P53" s="6"/>
    </row>
    <row r="54" spans="1:16">
      <c r="A54" s="80"/>
      <c r="B54" s="8">
        <f t="shared" si="1"/>
        <v>304</v>
      </c>
      <c r="C54" s="11">
        <v>36</v>
      </c>
      <c r="D54" s="9">
        <v>37</v>
      </c>
      <c r="E54" s="9">
        <v>38</v>
      </c>
      <c r="F54" s="9">
        <v>39</v>
      </c>
      <c r="G54" s="9">
        <v>40</v>
      </c>
      <c r="H54" s="103"/>
      <c r="I54" s="104"/>
      <c r="J54" s="104"/>
      <c r="K54" s="104"/>
      <c r="L54" s="105"/>
      <c r="M54" s="91"/>
      <c r="P54" s="6"/>
    </row>
    <row r="55" spans="1:16">
      <c r="A55" s="80">
        <v>4</v>
      </c>
      <c r="B55" s="8">
        <f t="shared" si="1"/>
        <v>403</v>
      </c>
      <c r="C55" s="9">
        <v>46</v>
      </c>
      <c r="D55" s="9">
        <v>47</v>
      </c>
      <c r="E55" s="9">
        <v>48</v>
      </c>
      <c r="F55" s="9">
        <v>49</v>
      </c>
      <c r="G55" s="9">
        <v>50</v>
      </c>
      <c r="H55" s="31">
        <v>56</v>
      </c>
      <c r="I55" s="31">
        <v>57</v>
      </c>
      <c r="J55" s="32">
        <v>58</v>
      </c>
      <c r="K55" s="31">
        <v>59</v>
      </c>
      <c r="L55" s="31">
        <v>60</v>
      </c>
      <c r="M55" s="91"/>
      <c r="P55" s="6"/>
    </row>
    <row r="56" spans="1:16">
      <c r="A56" s="80"/>
      <c r="B56" s="8">
        <f t="shared" si="1"/>
        <v>404</v>
      </c>
      <c r="C56" s="9">
        <v>51</v>
      </c>
      <c r="D56" s="9">
        <v>52</v>
      </c>
      <c r="E56" s="9">
        <v>53</v>
      </c>
      <c r="F56" s="9">
        <v>54</v>
      </c>
      <c r="G56" s="9">
        <v>55</v>
      </c>
      <c r="H56" s="95"/>
      <c r="I56" s="96"/>
      <c r="J56" s="96"/>
      <c r="K56" s="96"/>
      <c r="L56" s="97"/>
      <c r="M56" s="91"/>
      <c r="P56" s="6"/>
    </row>
    <row r="57" spans="1:16">
      <c r="A57" s="80">
        <v>5</v>
      </c>
      <c r="B57" s="8">
        <f t="shared" si="1"/>
        <v>503</v>
      </c>
      <c r="C57" s="9">
        <v>61</v>
      </c>
      <c r="D57" s="9">
        <v>62</v>
      </c>
      <c r="E57" s="9">
        <v>63</v>
      </c>
      <c r="F57" s="9">
        <v>64</v>
      </c>
      <c r="G57" s="9">
        <v>65</v>
      </c>
      <c r="H57" s="9">
        <v>71</v>
      </c>
      <c r="I57" s="10">
        <v>72</v>
      </c>
      <c r="J57" s="9">
        <v>73</v>
      </c>
      <c r="K57" s="9">
        <v>74</v>
      </c>
      <c r="L57" s="9">
        <v>75</v>
      </c>
      <c r="M57" s="91"/>
      <c r="P57" s="6"/>
    </row>
    <row r="58" spans="1:16">
      <c r="A58" s="80"/>
      <c r="B58" s="8">
        <f t="shared" si="1"/>
        <v>504</v>
      </c>
      <c r="C58" s="9">
        <v>66</v>
      </c>
      <c r="D58" s="9">
        <v>67</v>
      </c>
      <c r="E58" s="9">
        <v>68</v>
      </c>
      <c r="F58" s="9">
        <v>69</v>
      </c>
      <c r="G58" s="9">
        <v>70</v>
      </c>
      <c r="H58" s="95"/>
      <c r="I58" s="96"/>
      <c r="J58" s="96"/>
      <c r="K58" s="96"/>
      <c r="L58" s="97"/>
      <c r="M58" s="91"/>
      <c r="P58" s="6"/>
    </row>
    <row r="59" spans="1:16">
      <c r="A59" s="80">
        <v>6</v>
      </c>
      <c r="B59" s="8">
        <f t="shared" si="1"/>
        <v>603</v>
      </c>
      <c r="C59" s="9">
        <v>76</v>
      </c>
      <c r="D59" s="9">
        <v>77</v>
      </c>
      <c r="E59" s="9">
        <v>78</v>
      </c>
      <c r="F59" s="9">
        <v>79</v>
      </c>
      <c r="G59" s="9">
        <v>80</v>
      </c>
      <c r="H59" s="31">
        <v>86</v>
      </c>
      <c r="I59" s="61">
        <v>87</v>
      </c>
      <c r="J59" s="31">
        <v>88</v>
      </c>
      <c r="K59" s="31">
        <v>89</v>
      </c>
      <c r="L59" s="32">
        <v>90</v>
      </c>
      <c r="M59" s="91"/>
      <c r="P59" s="6"/>
    </row>
    <row r="60" spans="1:16">
      <c r="A60" s="80"/>
      <c r="B60" s="8">
        <f t="shared" si="1"/>
        <v>604</v>
      </c>
      <c r="C60" s="9">
        <v>81</v>
      </c>
      <c r="D60" s="9">
        <v>82</v>
      </c>
      <c r="E60" s="9">
        <v>83</v>
      </c>
      <c r="F60" s="9">
        <v>84</v>
      </c>
      <c r="G60" s="9">
        <v>85</v>
      </c>
      <c r="H60" s="95"/>
      <c r="I60" s="96"/>
      <c r="J60" s="96"/>
      <c r="K60" s="96"/>
      <c r="L60" s="97"/>
      <c r="M60" s="91"/>
      <c r="P60" s="6"/>
    </row>
    <row r="61" spans="1:16">
      <c r="A61" s="80">
        <v>7</v>
      </c>
      <c r="B61" s="8">
        <f t="shared" si="1"/>
        <v>703</v>
      </c>
      <c r="C61" s="11">
        <v>1</v>
      </c>
      <c r="D61" s="9">
        <v>2</v>
      </c>
      <c r="E61" s="9">
        <v>3</v>
      </c>
      <c r="F61" s="9">
        <v>4</v>
      </c>
      <c r="G61" s="9">
        <v>5</v>
      </c>
      <c r="H61" s="9">
        <v>11</v>
      </c>
      <c r="I61" s="9">
        <v>12</v>
      </c>
      <c r="J61" s="9">
        <v>13</v>
      </c>
      <c r="K61" s="9">
        <v>14</v>
      </c>
      <c r="L61" s="9">
        <v>15</v>
      </c>
      <c r="M61" s="91" t="s">
        <v>20</v>
      </c>
      <c r="P61" s="6"/>
    </row>
    <row r="62" spans="1:16">
      <c r="A62" s="80"/>
      <c r="B62" s="8">
        <f t="shared" si="1"/>
        <v>704</v>
      </c>
      <c r="C62" s="9">
        <v>6</v>
      </c>
      <c r="D62" s="9">
        <v>7</v>
      </c>
      <c r="E62" s="9">
        <v>8</v>
      </c>
      <c r="F62" s="11">
        <v>9</v>
      </c>
      <c r="G62" s="9">
        <v>10</v>
      </c>
      <c r="H62" s="95"/>
      <c r="I62" s="96"/>
      <c r="J62" s="96"/>
      <c r="K62" s="96"/>
      <c r="L62" s="97"/>
      <c r="M62" s="91"/>
      <c r="P62" s="6"/>
    </row>
    <row r="63" spans="1:16">
      <c r="A63" s="80">
        <v>8</v>
      </c>
      <c r="B63" s="8">
        <f t="shared" si="1"/>
        <v>803</v>
      </c>
      <c r="C63" s="9">
        <v>16</v>
      </c>
      <c r="D63" s="9">
        <v>17</v>
      </c>
      <c r="E63" s="9">
        <v>18</v>
      </c>
      <c r="F63" s="9">
        <v>19</v>
      </c>
      <c r="G63" s="9">
        <v>20</v>
      </c>
      <c r="H63" s="31">
        <v>26</v>
      </c>
      <c r="I63" s="31">
        <v>27</v>
      </c>
      <c r="J63" s="31">
        <v>28</v>
      </c>
      <c r="K63" s="31">
        <v>29</v>
      </c>
      <c r="L63" s="31">
        <v>30</v>
      </c>
      <c r="M63" s="91"/>
      <c r="P63" s="6"/>
    </row>
    <row r="64" spans="1:16">
      <c r="A64" s="80"/>
      <c r="B64" s="8">
        <f t="shared" si="1"/>
        <v>804</v>
      </c>
      <c r="C64" s="9">
        <v>21</v>
      </c>
      <c r="D64" s="9">
        <v>22</v>
      </c>
      <c r="E64" s="9">
        <v>23</v>
      </c>
      <c r="F64" s="9">
        <v>24</v>
      </c>
      <c r="G64" s="9">
        <v>25</v>
      </c>
      <c r="H64" s="95"/>
      <c r="I64" s="96"/>
      <c r="J64" s="96"/>
      <c r="K64" s="96"/>
      <c r="L64" s="97"/>
      <c r="M64" s="91"/>
      <c r="P64" s="6"/>
    </row>
    <row r="65" spans="1:16">
      <c r="A65" s="80">
        <v>9</v>
      </c>
      <c r="B65" s="8">
        <f t="shared" si="1"/>
        <v>903</v>
      </c>
      <c r="C65" s="9">
        <v>31</v>
      </c>
      <c r="D65" s="9">
        <v>32</v>
      </c>
      <c r="E65" s="9">
        <v>33</v>
      </c>
      <c r="F65" s="9">
        <v>34</v>
      </c>
      <c r="G65" s="9">
        <v>35</v>
      </c>
      <c r="H65" s="9">
        <v>41</v>
      </c>
      <c r="I65" s="11">
        <v>42</v>
      </c>
      <c r="J65" s="9">
        <v>43</v>
      </c>
      <c r="K65" s="9">
        <v>44</v>
      </c>
      <c r="L65" s="9">
        <v>45</v>
      </c>
      <c r="M65" s="91"/>
      <c r="P65" s="6"/>
    </row>
    <row r="66" spans="1:16">
      <c r="A66" s="80"/>
      <c r="B66" s="8">
        <f t="shared" si="1"/>
        <v>904</v>
      </c>
      <c r="C66" s="10">
        <v>36</v>
      </c>
      <c r="D66" s="9">
        <v>37</v>
      </c>
      <c r="E66" s="9">
        <v>38</v>
      </c>
      <c r="F66" s="9">
        <v>39</v>
      </c>
      <c r="G66" s="9">
        <v>40</v>
      </c>
      <c r="H66" s="95"/>
      <c r="I66" s="96"/>
      <c r="J66" s="96"/>
      <c r="K66" s="96"/>
      <c r="L66" s="97"/>
      <c r="M66" s="91"/>
      <c r="P66" s="6"/>
    </row>
    <row r="67" spans="1:16">
      <c r="A67" s="80">
        <v>10</v>
      </c>
      <c r="B67" s="8">
        <f t="shared" si="1"/>
        <v>1003</v>
      </c>
      <c r="C67" s="10">
        <v>46</v>
      </c>
      <c r="D67" s="9">
        <v>47</v>
      </c>
      <c r="E67" s="9">
        <v>48</v>
      </c>
      <c r="F67" s="10">
        <v>49</v>
      </c>
      <c r="G67" s="9">
        <v>50</v>
      </c>
      <c r="H67" s="31">
        <v>56</v>
      </c>
      <c r="I67" s="31">
        <v>57</v>
      </c>
      <c r="J67" s="31">
        <v>58</v>
      </c>
      <c r="K67" s="31">
        <v>59</v>
      </c>
      <c r="L67" s="31">
        <v>60</v>
      </c>
      <c r="M67" s="91"/>
      <c r="P67" s="6"/>
    </row>
    <row r="68" spans="1:16">
      <c r="A68" s="80"/>
      <c r="B68" s="8">
        <f t="shared" si="1"/>
        <v>1004</v>
      </c>
      <c r="C68" s="9">
        <v>51</v>
      </c>
      <c r="D68" s="9">
        <v>52</v>
      </c>
      <c r="E68" s="9">
        <v>53</v>
      </c>
      <c r="F68" s="9">
        <v>54</v>
      </c>
      <c r="G68" s="9">
        <v>55</v>
      </c>
      <c r="H68" s="95"/>
      <c r="I68" s="96"/>
      <c r="J68" s="96"/>
      <c r="K68" s="96"/>
      <c r="L68" s="97"/>
      <c r="M68" s="91"/>
      <c r="P68" s="6"/>
    </row>
    <row r="69" spans="1:16">
      <c r="A69" s="98">
        <v>11</v>
      </c>
      <c r="B69" s="8">
        <f t="shared" si="1"/>
        <v>1103</v>
      </c>
      <c r="C69" s="9">
        <v>61</v>
      </c>
      <c r="D69" s="11">
        <v>62</v>
      </c>
      <c r="E69" s="9">
        <v>63</v>
      </c>
      <c r="F69" s="9">
        <v>64</v>
      </c>
      <c r="G69" s="9">
        <v>65</v>
      </c>
      <c r="H69" s="9">
        <v>71</v>
      </c>
      <c r="I69" s="9">
        <v>72</v>
      </c>
      <c r="J69" s="9">
        <v>73</v>
      </c>
      <c r="K69" s="9">
        <v>74</v>
      </c>
      <c r="L69" s="9">
        <v>75</v>
      </c>
      <c r="M69" s="91"/>
      <c r="P69" s="6"/>
    </row>
    <row r="70" spans="1:16">
      <c r="A70" s="99"/>
      <c r="B70" s="8">
        <f t="shared" si="1"/>
        <v>1104</v>
      </c>
      <c r="C70" s="9">
        <v>66</v>
      </c>
      <c r="D70" s="9">
        <v>67</v>
      </c>
      <c r="E70" s="9">
        <v>68</v>
      </c>
      <c r="F70" s="11">
        <v>69</v>
      </c>
      <c r="G70" s="9">
        <v>70</v>
      </c>
      <c r="H70" s="95"/>
      <c r="I70" s="96"/>
      <c r="J70" s="96"/>
      <c r="K70" s="96"/>
      <c r="L70" s="97"/>
      <c r="M70" s="91"/>
      <c r="P70" s="6"/>
    </row>
    <row r="71" spans="1:16">
      <c r="A71" s="80">
        <v>12</v>
      </c>
      <c r="B71" s="8">
        <f t="shared" si="1"/>
        <v>1203</v>
      </c>
      <c r="C71" s="9">
        <v>76</v>
      </c>
      <c r="D71" s="9">
        <v>77</v>
      </c>
      <c r="E71" s="9">
        <v>78</v>
      </c>
      <c r="F71" s="9">
        <v>79</v>
      </c>
      <c r="G71" s="9">
        <v>80</v>
      </c>
      <c r="H71" s="31">
        <v>86</v>
      </c>
      <c r="I71" s="31">
        <v>87</v>
      </c>
      <c r="J71" s="31">
        <v>88</v>
      </c>
      <c r="K71" s="31">
        <v>89</v>
      </c>
      <c r="L71" s="31">
        <v>90</v>
      </c>
      <c r="M71" s="91"/>
      <c r="P71" s="6"/>
    </row>
    <row r="72" spans="1:16">
      <c r="A72" s="80"/>
      <c r="B72" s="8">
        <f t="shared" si="1"/>
        <v>1204</v>
      </c>
      <c r="C72" s="9">
        <v>81</v>
      </c>
      <c r="D72" s="9">
        <v>82</v>
      </c>
      <c r="E72" s="9">
        <v>83</v>
      </c>
      <c r="F72" s="9">
        <v>84</v>
      </c>
      <c r="G72" s="9">
        <v>85</v>
      </c>
      <c r="H72" s="95"/>
      <c r="I72" s="96"/>
      <c r="J72" s="96"/>
      <c r="K72" s="96"/>
      <c r="L72" s="97"/>
      <c r="M72" s="91"/>
      <c r="P72" s="6"/>
    </row>
    <row r="73" spans="1:16">
      <c r="A73" s="80">
        <v>13</v>
      </c>
      <c r="B73" s="8">
        <f t="shared" si="1"/>
        <v>1303</v>
      </c>
      <c r="C73" s="9">
        <v>1</v>
      </c>
      <c r="D73" s="9">
        <v>2</v>
      </c>
      <c r="E73" s="9">
        <v>3</v>
      </c>
      <c r="F73" s="9">
        <v>4</v>
      </c>
      <c r="G73" s="9">
        <v>5</v>
      </c>
      <c r="H73" s="9">
        <v>11</v>
      </c>
      <c r="I73" s="9">
        <v>12</v>
      </c>
      <c r="J73" s="9">
        <v>13</v>
      </c>
      <c r="K73" s="9">
        <v>14</v>
      </c>
      <c r="L73" s="9">
        <v>15</v>
      </c>
      <c r="M73" s="91" t="s">
        <v>21</v>
      </c>
      <c r="P73" s="6"/>
    </row>
    <row r="74" spans="1:16">
      <c r="A74" s="80"/>
      <c r="B74" s="8">
        <f t="shared" si="1"/>
        <v>1304</v>
      </c>
      <c r="C74" s="9">
        <v>6</v>
      </c>
      <c r="D74" s="9">
        <v>7</v>
      </c>
      <c r="E74" s="9">
        <v>8</v>
      </c>
      <c r="F74" s="11">
        <v>9</v>
      </c>
      <c r="G74" s="9">
        <v>10</v>
      </c>
      <c r="H74" s="95"/>
      <c r="I74" s="96"/>
      <c r="J74" s="96"/>
      <c r="K74" s="96"/>
      <c r="L74" s="97"/>
      <c r="M74" s="91"/>
      <c r="P74" s="6"/>
    </row>
    <row r="75" spans="1:16">
      <c r="A75" s="80">
        <v>14</v>
      </c>
      <c r="B75" s="8">
        <f t="shared" si="1"/>
        <v>1403</v>
      </c>
      <c r="C75" s="11">
        <v>16</v>
      </c>
      <c r="D75" s="9">
        <v>17</v>
      </c>
      <c r="E75" s="9">
        <v>18</v>
      </c>
      <c r="F75" s="9">
        <v>19</v>
      </c>
      <c r="G75" s="9">
        <v>20</v>
      </c>
      <c r="H75" s="61">
        <v>26</v>
      </c>
      <c r="I75" s="31">
        <v>27</v>
      </c>
      <c r="J75" s="31">
        <v>28</v>
      </c>
      <c r="K75" s="31">
        <v>29</v>
      </c>
      <c r="L75" s="31">
        <v>30</v>
      </c>
      <c r="M75" s="91"/>
      <c r="P75" s="6"/>
    </row>
    <row r="76" spans="1:16">
      <c r="A76" s="80"/>
      <c r="B76" s="8">
        <f t="shared" si="1"/>
        <v>1404</v>
      </c>
      <c r="C76" s="9">
        <v>21</v>
      </c>
      <c r="D76" s="9">
        <v>22</v>
      </c>
      <c r="E76" s="9">
        <v>23</v>
      </c>
      <c r="F76" s="11">
        <v>24</v>
      </c>
      <c r="G76" s="9">
        <v>25</v>
      </c>
      <c r="H76" s="95"/>
      <c r="I76" s="96"/>
      <c r="J76" s="96"/>
      <c r="K76" s="96"/>
      <c r="L76" s="97"/>
      <c r="M76" s="91"/>
      <c r="P76" s="6"/>
    </row>
    <row r="77" spans="1:16">
      <c r="A77" s="80">
        <v>15</v>
      </c>
      <c r="B77" s="8">
        <f t="shared" si="1"/>
        <v>1503</v>
      </c>
      <c r="C77" s="9">
        <v>31</v>
      </c>
      <c r="D77" s="9">
        <v>32</v>
      </c>
      <c r="E77" s="9">
        <v>33</v>
      </c>
      <c r="F77" s="9">
        <v>34</v>
      </c>
      <c r="G77" s="9">
        <v>35</v>
      </c>
      <c r="H77" s="9">
        <v>41</v>
      </c>
      <c r="I77" s="9">
        <v>42</v>
      </c>
      <c r="J77" s="9">
        <v>43</v>
      </c>
      <c r="K77" s="9">
        <v>44</v>
      </c>
      <c r="L77" s="9">
        <v>45</v>
      </c>
      <c r="M77" s="91"/>
      <c r="P77" s="6"/>
    </row>
    <row r="78" spans="1:16">
      <c r="A78" s="80"/>
      <c r="B78" s="8">
        <f t="shared" si="1"/>
        <v>1504</v>
      </c>
      <c r="C78" s="9">
        <v>36</v>
      </c>
      <c r="D78" s="9">
        <v>37</v>
      </c>
      <c r="E78" s="9">
        <v>38</v>
      </c>
      <c r="F78" s="9">
        <v>39</v>
      </c>
      <c r="G78" s="9">
        <v>40</v>
      </c>
      <c r="H78" s="95"/>
      <c r="I78" s="96"/>
      <c r="J78" s="96"/>
      <c r="K78" s="96"/>
      <c r="L78" s="97"/>
      <c r="M78" s="91"/>
      <c r="P78" s="6"/>
    </row>
    <row r="79" spans="1:16">
      <c r="A79" s="80">
        <v>16</v>
      </c>
      <c r="B79" s="8">
        <f t="shared" si="1"/>
        <v>1603</v>
      </c>
      <c r="C79" s="9">
        <v>46</v>
      </c>
      <c r="D79" s="9">
        <v>47</v>
      </c>
      <c r="E79" s="9">
        <v>48</v>
      </c>
      <c r="F79" s="9">
        <v>49</v>
      </c>
      <c r="G79" s="9">
        <v>50</v>
      </c>
      <c r="H79" s="61">
        <v>56</v>
      </c>
      <c r="I79" s="31">
        <v>57</v>
      </c>
      <c r="J79" s="31">
        <v>58</v>
      </c>
      <c r="K79" s="31">
        <v>59</v>
      </c>
      <c r="L79" s="31">
        <v>60</v>
      </c>
      <c r="M79" s="91"/>
      <c r="P79" s="6"/>
    </row>
    <row r="80" spans="1:16">
      <c r="A80" s="80"/>
      <c r="B80" s="8">
        <f t="shared" si="1"/>
        <v>1604</v>
      </c>
      <c r="C80" s="10">
        <v>51</v>
      </c>
      <c r="D80" s="10">
        <v>52</v>
      </c>
      <c r="E80" s="10">
        <v>53</v>
      </c>
      <c r="F80" s="10">
        <v>54</v>
      </c>
      <c r="G80" s="10">
        <v>55</v>
      </c>
      <c r="H80" s="95"/>
      <c r="I80" s="96"/>
      <c r="J80" s="96"/>
      <c r="K80" s="96"/>
      <c r="L80" s="97"/>
      <c r="M80" s="91"/>
      <c r="P80" s="6"/>
    </row>
    <row r="81" spans="1:20">
      <c r="A81" s="80">
        <v>17</v>
      </c>
      <c r="B81" s="8">
        <f t="shared" si="1"/>
        <v>1703</v>
      </c>
      <c r="C81" s="9">
        <v>61</v>
      </c>
      <c r="D81" s="10">
        <v>62</v>
      </c>
      <c r="E81" s="9">
        <v>63</v>
      </c>
      <c r="F81" s="9">
        <v>64</v>
      </c>
      <c r="G81" s="9">
        <v>65</v>
      </c>
      <c r="H81" s="9">
        <v>71</v>
      </c>
      <c r="I81" s="9">
        <v>72</v>
      </c>
      <c r="J81" s="9">
        <v>73</v>
      </c>
      <c r="K81" s="9">
        <v>74</v>
      </c>
      <c r="L81" s="9">
        <v>75</v>
      </c>
      <c r="M81" s="91"/>
    </row>
    <row r="82" spans="1:20">
      <c r="A82" s="80"/>
      <c r="B82" s="8">
        <f t="shared" si="1"/>
        <v>1704</v>
      </c>
      <c r="C82" s="9">
        <v>66</v>
      </c>
      <c r="D82" s="10">
        <v>67</v>
      </c>
      <c r="E82" s="9">
        <v>68</v>
      </c>
      <c r="F82" s="9">
        <v>69</v>
      </c>
      <c r="G82" s="9">
        <v>70</v>
      </c>
      <c r="H82" s="95"/>
      <c r="I82" s="96"/>
      <c r="J82" s="96"/>
      <c r="K82" s="96"/>
      <c r="L82" s="97"/>
      <c r="M82" s="91"/>
    </row>
    <row r="83" spans="1:20">
      <c r="A83" s="80">
        <v>18</v>
      </c>
      <c r="B83" s="8">
        <f t="shared" si="1"/>
        <v>1803</v>
      </c>
      <c r="C83" s="9">
        <v>76</v>
      </c>
      <c r="D83" s="9">
        <v>77</v>
      </c>
      <c r="E83" s="9">
        <v>78</v>
      </c>
      <c r="F83" s="9">
        <v>79</v>
      </c>
      <c r="G83" s="9">
        <v>80</v>
      </c>
      <c r="H83" s="31">
        <v>86</v>
      </c>
      <c r="I83" s="32">
        <v>87</v>
      </c>
      <c r="J83" s="31">
        <v>88</v>
      </c>
      <c r="K83" s="31">
        <v>89</v>
      </c>
      <c r="L83" s="31">
        <v>90</v>
      </c>
      <c r="M83" s="91"/>
      <c r="O83" s="6"/>
    </row>
    <row r="84" spans="1:20">
      <c r="A84" s="80"/>
      <c r="B84" s="8">
        <f t="shared" si="1"/>
        <v>1804</v>
      </c>
      <c r="C84" s="9">
        <v>81</v>
      </c>
      <c r="D84" s="9">
        <v>82</v>
      </c>
      <c r="E84" s="9">
        <v>83</v>
      </c>
      <c r="F84" s="9">
        <v>84</v>
      </c>
      <c r="G84" s="9">
        <v>85</v>
      </c>
      <c r="H84" s="95"/>
      <c r="I84" s="96"/>
      <c r="J84" s="96"/>
      <c r="K84" s="96"/>
      <c r="L84" s="97"/>
      <c r="M84" s="91"/>
      <c r="O84" s="6"/>
    </row>
    <row r="85" spans="1:20">
      <c r="A85" s="80">
        <v>19</v>
      </c>
      <c r="B85" s="8">
        <f t="shared" si="1"/>
        <v>1903</v>
      </c>
      <c r="C85" s="10">
        <v>1</v>
      </c>
      <c r="D85" s="11">
        <v>2</v>
      </c>
      <c r="E85" s="9">
        <v>3</v>
      </c>
      <c r="F85" s="9">
        <v>4</v>
      </c>
      <c r="G85" s="9">
        <v>5</v>
      </c>
      <c r="H85" s="9">
        <v>11</v>
      </c>
      <c r="I85" s="9">
        <v>12</v>
      </c>
      <c r="J85" s="9">
        <v>13</v>
      </c>
      <c r="K85" s="9">
        <v>14</v>
      </c>
      <c r="L85" s="9">
        <v>15</v>
      </c>
      <c r="M85" s="91" t="s">
        <v>22</v>
      </c>
      <c r="O85" s="6"/>
    </row>
    <row r="86" spans="1:20">
      <c r="A86" s="80"/>
      <c r="B86" s="8">
        <f t="shared" si="1"/>
        <v>1904</v>
      </c>
      <c r="C86" s="9">
        <v>6</v>
      </c>
      <c r="D86" s="9">
        <v>7</v>
      </c>
      <c r="E86" s="9">
        <v>8</v>
      </c>
      <c r="F86" s="9">
        <v>9</v>
      </c>
      <c r="G86" s="9">
        <v>10</v>
      </c>
      <c r="H86" s="95"/>
      <c r="I86" s="96"/>
      <c r="J86" s="96"/>
      <c r="K86" s="96"/>
      <c r="L86" s="97"/>
      <c r="M86" s="91"/>
      <c r="O86" s="6"/>
    </row>
    <row r="87" spans="1:20">
      <c r="A87" s="80">
        <v>20</v>
      </c>
      <c r="B87" s="8">
        <f t="shared" si="1"/>
        <v>2003</v>
      </c>
      <c r="C87" s="10">
        <v>16</v>
      </c>
      <c r="D87" s="9">
        <v>17</v>
      </c>
      <c r="E87" s="9">
        <v>18</v>
      </c>
      <c r="F87" s="9">
        <v>19</v>
      </c>
      <c r="G87" s="9">
        <v>20</v>
      </c>
      <c r="H87" s="31">
        <v>26</v>
      </c>
      <c r="I87" s="31">
        <v>27</v>
      </c>
      <c r="J87" s="31">
        <v>28</v>
      </c>
      <c r="K87" s="31">
        <v>29</v>
      </c>
      <c r="L87" s="31">
        <v>30</v>
      </c>
      <c r="M87" s="91"/>
      <c r="O87" s="6"/>
      <c r="T87" s="18"/>
    </row>
    <row r="88" spans="1:20">
      <c r="A88" s="80"/>
      <c r="B88" s="8">
        <f t="shared" si="1"/>
        <v>2004</v>
      </c>
      <c r="C88" s="9">
        <v>21</v>
      </c>
      <c r="D88" s="9">
        <v>22</v>
      </c>
      <c r="E88" s="9">
        <v>23</v>
      </c>
      <c r="F88" s="9">
        <v>24</v>
      </c>
      <c r="G88" s="9">
        <v>25</v>
      </c>
      <c r="H88" s="95"/>
      <c r="I88" s="96"/>
      <c r="J88" s="96"/>
      <c r="K88" s="96"/>
      <c r="L88" s="97"/>
      <c r="M88" s="91"/>
      <c r="O88" s="6"/>
    </row>
    <row r="89" spans="1:20">
      <c r="A89" s="80">
        <v>21</v>
      </c>
      <c r="B89" s="8">
        <f t="shared" si="1"/>
        <v>2103</v>
      </c>
      <c r="C89" s="9">
        <v>31</v>
      </c>
      <c r="D89" s="9">
        <v>32</v>
      </c>
      <c r="E89" s="9">
        <v>33</v>
      </c>
      <c r="F89" s="9">
        <v>34</v>
      </c>
      <c r="G89" s="9">
        <v>35</v>
      </c>
      <c r="H89" s="9">
        <v>41</v>
      </c>
      <c r="I89" s="9">
        <v>42</v>
      </c>
      <c r="J89" s="9">
        <v>43</v>
      </c>
      <c r="K89" s="9">
        <v>44</v>
      </c>
      <c r="L89" s="9">
        <v>45</v>
      </c>
      <c r="M89" s="91"/>
      <c r="O89" s="6"/>
    </row>
    <row r="90" spans="1:20">
      <c r="A90" s="80"/>
      <c r="B90" s="8">
        <f t="shared" si="1"/>
        <v>2104</v>
      </c>
      <c r="C90" s="10">
        <v>36</v>
      </c>
      <c r="D90" s="9">
        <v>37</v>
      </c>
      <c r="E90" s="9">
        <v>38</v>
      </c>
      <c r="F90" s="9">
        <v>39</v>
      </c>
      <c r="G90" s="9">
        <v>40</v>
      </c>
      <c r="H90" s="95"/>
      <c r="I90" s="96"/>
      <c r="J90" s="96"/>
      <c r="K90" s="96"/>
      <c r="L90" s="97"/>
      <c r="M90" s="91"/>
      <c r="O90" s="6"/>
    </row>
    <row r="91" spans="1:20">
      <c r="A91" s="80">
        <v>22</v>
      </c>
      <c r="B91" s="8">
        <f t="shared" si="1"/>
        <v>2203</v>
      </c>
      <c r="C91" s="10">
        <v>46</v>
      </c>
      <c r="D91" s="9">
        <v>47</v>
      </c>
      <c r="E91" s="9">
        <v>48</v>
      </c>
      <c r="F91" s="11">
        <v>49</v>
      </c>
      <c r="G91" s="9">
        <v>50</v>
      </c>
      <c r="H91" s="31">
        <v>56</v>
      </c>
      <c r="I91" s="31">
        <v>57</v>
      </c>
      <c r="J91" s="31">
        <v>58</v>
      </c>
      <c r="K91" s="31">
        <v>59</v>
      </c>
      <c r="L91" s="31">
        <v>60</v>
      </c>
      <c r="M91" s="91"/>
      <c r="O91" s="6"/>
    </row>
    <row r="92" spans="1:20">
      <c r="A92" s="80"/>
      <c r="B92" s="8">
        <f t="shared" si="1"/>
        <v>2204</v>
      </c>
      <c r="C92" s="9">
        <v>51</v>
      </c>
      <c r="D92" s="9">
        <v>52</v>
      </c>
      <c r="E92" s="9">
        <v>53</v>
      </c>
      <c r="F92" s="9">
        <v>54</v>
      </c>
      <c r="G92" s="9">
        <v>55</v>
      </c>
      <c r="H92" s="95"/>
      <c r="I92" s="96"/>
      <c r="J92" s="96"/>
      <c r="K92" s="96"/>
      <c r="L92" s="97"/>
      <c r="M92" s="91"/>
      <c r="O92" s="6"/>
    </row>
  </sheetData>
  <mergeCells count="116">
    <mergeCell ref="A71:A72"/>
    <mergeCell ref="H72:L72"/>
    <mergeCell ref="M85:M92"/>
    <mergeCell ref="H86:L86"/>
    <mergeCell ref="A87:A88"/>
    <mergeCell ref="H88:L88"/>
    <mergeCell ref="A89:A90"/>
    <mergeCell ref="H90:L90"/>
    <mergeCell ref="A91:A92"/>
    <mergeCell ref="H92:L92"/>
    <mergeCell ref="H80:L80"/>
    <mergeCell ref="A81:A82"/>
    <mergeCell ref="H82:L82"/>
    <mergeCell ref="A83:A84"/>
    <mergeCell ref="H84:L84"/>
    <mergeCell ref="A85:A86"/>
    <mergeCell ref="M73:M84"/>
    <mergeCell ref="H74:L74"/>
    <mergeCell ref="A75:A76"/>
    <mergeCell ref="H76:L76"/>
    <mergeCell ref="A77:A78"/>
    <mergeCell ref="H78:L78"/>
    <mergeCell ref="A79:A80"/>
    <mergeCell ref="A73:A74"/>
    <mergeCell ref="H56:L56"/>
    <mergeCell ref="A57:A58"/>
    <mergeCell ref="H58:L58"/>
    <mergeCell ref="A59:A60"/>
    <mergeCell ref="H60:L60"/>
    <mergeCell ref="A61:A62"/>
    <mergeCell ref="A49:A50"/>
    <mergeCell ref="M49:M60"/>
    <mergeCell ref="H50:L50"/>
    <mergeCell ref="A51:A52"/>
    <mergeCell ref="H52:L52"/>
    <mergeCell ref="A53:A54"/>
    <mergeCell ref="H54:L54"/>
    <mergeCell ref="A55:A56"/>
    <mergeCell ref="M61:M72"/>
    <mergeCell ref="H62:L62"/>
    <mergeCell ref="A63:A64"/>
    <mergeCell ref="H64:L64"/>
    <mergeCell ref="A65:A66"/>
    <mergeCell ref="H66:L66"/>
    <mergeCell ref="A67:A68"/>
    <mergeCell ref="H68:L68"/>
    <mergeCell ref="A69:A70"/>
    <mergeCell ref="H70:L70"/>
    <mergeCell ref="A46:A47"/>
    <mergeCell ref="H47:L47"/>
    <mergeCell ref="A38:A39"/>
    <mergeCell ref="H39:L39"/>
    <mergeCell ref="T39:T42"/>
    <mergeCell ref="A40:A41"/>
    <mergeCell ref="H41:L41"/>
    <mergeCell ref="A42:A43"/>
    <mergeCell ref="H43:L43"/>
    <mergeCell ref="A44:A45"/>
    <mergeCell ref="H45:L45"/>
    <mergeCell ref="M40:M48"/>
    <mergeCell ref="H31:L31"/>
    <mergeCell ref="A32:A33"/>
    <mergeCell ref="H33:L33"/>
    <mergeCell ref="A34:A35"/>
    <mergeCell ref="T34:T37"/>
    <mergeCell ref="H35:L35"/>
    <mergeCell ref="A36:A37"/>
    <mergeCell ref="H37:L37"/>
    <mergeCell ref="A24:A25"/>
    <mergeCell ref="T24:T27"/>
    <mergeCell ref="H25:L25"/>
    <mergeCell ref="A26:A27"/>
    <mergeCell ref="H27:L27"/>
    <mergeCell ref="A28:A29"/>
    <mergeCell ref="M28:M39"/>
    <mergeCell ref="H29:L29"/>
    <mergeCell ref="T29:T32"/>
    <mergeCell ref="A30:A31"/>
    <mergeCell ref="H17:L17"/>
    <mergeCell ref="A18:A19"/>
    <mergeCell ref="H19:L19"/>
    <mergeCell ref="T19:T22"/>
    <mergeCell ref="A20:A21"/>
    <mergeCell ref="H21:L21"/>
    <mergeCell ref="A22:A23"/>
    <mergeCell ref="H23:L23"/>
    <mergeCell ref="T9:T12"/>
    <mergeCell ref="A10:A11"/>
    <mergeCell ref="H11:L11"/>
    <mergeCell ref="A12:A13"/>
    <mergeCell ref="H13:L13"/>
    <mergeCell ref="A14:A15"/>
    <mergeCell ref="T14:T17"/>
    <mergeCell ref="H15:L15"/>
    <mergeCell ref="A16:A17"/>
    <mergeCell ref="M16:M27"/>
    <mergeCell ref="P3:Q3"/>
    <mergeCell ref="A4:A5"/>
    <mergeCell ref="M4:M15"/>
    <mergeCell ref="O4:O7"/>
    <mergeCell ref="T4:T7"/>
    <mergeCell ref="H5:L5"/>
    <mergeCell ref="A6:A7"/>
    <mergeCell ref="H7:L7"/>
    <mergeCell ref="A8:A9"/>
    <mergeCell ref="H9:L9"/>
    <mergeCell ref="A1:M1"/>
    <mergeCell ref="A2:A3"/>
    <mergeCell ref="B2:B3"/>
    <mergeCell ref="C2:G3"/>
    <mergeCell ref="H2:H3"/>
    <mergeCell ref="I2:I3"/>
    <mergeCell ref="J2:J3"/>
    <mergeCell ref="K2:K3"/>
    <mergeCell ref="L2:L3"/>
    <mergeCell ref="M2:M3"/>
  </mergeCells>
  <conditionalFormatting sqref="F10:G10">
    <cfRule type="cellIs" dxfId="291" priority="16" operator="equal">
      <formula>"Ногоон"</formula>
    </cfRule>
    <cfRule type="cellIs" dxfId="290" priority="17" operator="equal">
      <formula>"Улаан"</formula>
    </cfRule>
  </conditionalFormatting>
  <conditionalFormatting sqref="C4:L4 C5:H5 C6:G15 H8:L8 H9 H12:L12 H13 C16:L16 C17:H17 C18:G27 H20:L20 H21 H24:L24 H25 C28:L28 C29:H29 C30:G39 H32:L32 H33 H36:L36 H37 C40:L40 C41:H41 C42:G48 H44:L44 H45 H48:L48 C49:L49 C50:H50 C51:G60 H53:L53 H54 H57:L57 H58 C61:L61 C62:H62 C63:G72 H65:L65 H66 H69:L69 H70 C73:L73 C74:H74 C75:G84 H77:L77 H78 H81:L81 H82 C85:L85 C86:H86 C87:G92 H89:L89 H90">
    <cfRule type="cellIs" dxfId="289" priority="15" operator="equal">
      <formula>"Улаан"</formula>
    </cfRule>
  </conditionalFormatting>
  <conditionalFormatting sqref="F22:G22">
    <cfRule type="cellIs" dxfId="288" priority="13" operator="equal">
      <formula>"Ногоон"</formula>
    </cfRule>
    <cfRule type="cellIs" dxfId="287" priority="14" operator="equal">
      <formula>"Улаан"</formula>
    </cfRule>
  </conditionalFormatting>
  <conditionalFormatting sqref="F34:G34">
    <cfRule type="cellIs" dxfId="286" priority="11" operator="equal">
      <formula>"Ногоон"</formula>
    </cfRule>
    <cfRule type="cellIs" dxfId="285" priority="12" operator="equal">
      <formula>"Улаан"</formula>
    </cfRule>
  </conditionalFormatting>
  <conditionalFormatting sqref="F46:G46">
    <cfRule type="cellIs" dxfId="284" priority="9" operator="equal">
      <formula>"Ногоон"</formula>
    </cfRule>
    <cfRule type="cellIs" dxfId="283" priority="10" operator="equal">
      <formula>"Улаан"</formula>
    </cfRule>
  </conditionalFormatting>
  <conditionalFormatting sqref="F55:G55">
    <cfRule type="cellIs" dxfId="282" priority="7" operator="equal">
      <formula>"Ногоон"</formula>
    </cfRule>
    <cfRule type="cellIs" dxfId="281" priority="8" operator="equal">
      <formula>"Улаан"</formula>
    </cfRule>
  </conditionalFormatting>
  <conditionalFormatting sqref="F67:G67">
    <cfRule type="cellIs" dxfId="280" priority="5" operator="equal">
      <formula>"Ногоон"</formula>
    </cfRule>
    <cfRule type="cellIs" dxfId="279" priority="6" operator="equal">
      <formula>"Улаан"</formula>
    </cfRule>
  </conditionalFormatting>
  <conditionalFormatting sqref="F79:G79">
    <cfRule type="cellIs" dxfId="278" priority="3" operator="equal">
      <formula>"Ногоон"</formula>
    </cfRule>
    <cfRule type="cellIs" dxfId="277" priority="4" operator="equal">
      <formula>"Улаан"</formula>
    </cfRule>
  </conditionalFormatting>
  <conditionalFormatting sqref="F91:G91">
    <cfRule type="cellIs" dxfId="276" priority="1" operator="equal">
      <formula>"Ногоон"</formula>
    </cfRule>
    <cfRule type="cellIs" dxfId="275" priority="2" operator="equal">
      <formula>"Улаан"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963-AB03-4C04-880B-A059BC526169}">
  <dimension ref="A1:Z70"/>
  <sheetViews>
    <sheetView topLeftCell="R1" workbookViewId="0">
      <selection activeCell="Z38" sqref="Z38"/>
    </sheetView>
  </sheetViews>
  <sheetFormatPr defaultRowHeight="15"/>
  <cols>
    <col min="15" max="15" width="9.42578125" customWidth="1"/>
    <col min="18" max="18" width="9.7109375" bestFit="1" customWidth="1"/>
    <col min="19" max="19" width="14.5703125" bestFit="1" customWidth="1"/>
    <col min="24" max="24" width="14.5703125" bestFit="1" customWidth="1"/>
  </cols>
  <sheetData>
    <row r="1" spans="1:26">
      <c r="A1" s="77">
        <v>206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9"/>
    </row>
    <row r="2" spans="1:26" ht="15" customHeight="1">
      <c r="A2" s="98" t="s">
        <v>1</v>
      </c>
      <c r="B2" s="122" t="s">
        <v>2</v>
      </c>
      <c r="C2" s="82" t="s">
        <v>3</v>
      </c>
      <c r="D2" s="83"/>
      <c r="E2" s="83"/>
      <c r="F2" s="83"/>
      <c r="G2" s="83"/>
      <c r="H2" s="83"/>
      <c r="I2" s="83"/>
      <c r="J2" s="84"/>
      <c r="K2" s="124" t="s">
        <v>4</v>
      </c>
      <c r="L2" s="124" t="s">
        <v>24</v>
      </c>
      <c r="M2" s="122" t="s">
        <v>5</v>
      </c>
      <c r="N2" s="126" t="s">
        <v>6</v>
      </c>
      <c r="O2" s="122" t="s">
        <v>7</v>
      </c>
      <c r="P2" s="98" t="s">
        <v>8</v>
      </c>
    </row>
    <row r="3" spans="1:26">
      <c r="A3" s="99"/>
      <c r="B3" s="123"/>
      <c r="C3" s="85"/>
      <c r="D3" s="86"/>
      <c r="E3" s="86"/>
      <c r="F3" s="86"/>
      <c r="G3" s="86"/>
      <c r="H3" s="86"/>
      <c r="I3" s="86"/>
      <c r="J3" s="87"/>
      <c r="K3" s="125"/>
      <c r="L3" s="125"/>
      <c r="M3" s="123"/>
      <c r="N3" s="127"/>
      <c r="O3" s="123"/>
      <c r="P3" s="99"/>
    </row>
    <row r="4" spans="1:26">
      <c r="A4" s="98">
        <v>1</v>
      </c>
      <c r="B4" s="7">
        <f>(INT((ROW()-4)/3)+1)*100 + MOD(ROW()-4,3)+1</f>
        <v>101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116" t="s">
        <v>9</v>
      </c>
      <c r="R4" s="92">
        <v>46000</v>
      </c>
      <c r="S4" s="12" t="s">
        <v>10</v>
      </c>
      <c r="T4" s="13">
        <f>SUM(T5:T7)</f>
        <v>644</v>
      </c>
      <c r="U4" s="73">
        <v>1</v>
      </c>
      <c r="W4" s="92" t="s">
        <v>9</v>
      </c>
      <c r="X4" s="12" t="s">
        <v>10</v>
      </c>
      <c r="Y4" s="13">
        <f>SUM(Y5:Y7)</f>
        <v>87</v>
      </c>
      <c r="Z4" s="73">
        <v>1</v>
      </c>
    </row>
    <row r="5" spans="1:26">
      <c r="A5" s="106"/>
      <c r="B5" s="7">
        <f t="shared" ref="B5:B68" si="0">(INT((ROW()-4)/3)+1)*100 + MOD(ROW()-4,3)+1</f>
        <v>102</v>
      </c>
      <c r="C5" s="50"/>
      <c r="D5" s="50"/>
      <c r="E5" s="50"/>
      <c r="F5" s="50"/>
      <c r="G5" s="50"/>
      <c r="H5" s="50"/>
      <c r="I5" s="50"/>
      <c r="J5" s="50"/>
      <c r="K5" s="110"/>
      <c r="L5" s="111"/>
      <c r="M5" s="111"/>
      <c r="N5" s="111"/>
      <c r="O5" s="112"/>
      <c r="P5" s="117"/>
      <c r="R5" s="93"/>
      <c r="S5" s="14" t="s">
        <v>11</v>
      </c>
      <c r="T5" s="13" cm="1">
        <f t="array" ref="T5">CountByColor(C4:O70, S5)</f>
        <v>19</v>
      </c>
      <c r="U5" s="74">
        <v>2.9499999999999998E-2</v>
      </c>
      <c r="W5" s="93"/>
      <c r="X5" s="14" t="s">
        <v>11</v>
      </c>
      <c r="Y5" s="13" cm="1">
        <f t="array" ref="Y5">CountByColor(C4:O12, X5)</f>
        <v>3</v>
      </c>
      <c r="Z5" s="74">
        <v>3.4500000000000003E-2</v>
      </c>
    </row>
    <row r="6" spans="1:26">
      <c r="A6" s="99"/>
      <c r="B6" s="7">
        <f t="shared" si="0"/>
        <v>103</v>
      </c>
      <c r="C6" s="50"/>
      <c r="D6" s="50"/>
      <c r="E6" s="50"/>
      <c r="F6" s="50"/>
      <c r="G6" s="50"/>
      <c r="H6" s="50"/>
      <c r="I6" s="50"/>
      <c r="J6" s="50"/>
      <c r="K6" s="113"/>
      <c r="L6" s="114"/>
      <c r="M6" s="114"/>
      <c r="N6" s="114"/>
      <c r="O6" s="115"/>
      <c r="P6" s="117"/>
      <c r="R6" s="93"/>
      <c r="S6" s="15" t="s">
        <v>12</v>
      </c>
      <c r="T6" s="13" cm="1">
        <f t="array" ref="T6">CountByColor(C4:O70, S6)</f>
        <v>13</v>
      </c>
      <c r="U6" s="74">
        <v>2.0199999999999999E-2</v>
      </c>
      <c r="W6" s="93"/>
      <c r="X6" s="15" t="s">
        <v>12</v>
      </c>
      <c r="Y6" s="13" cm="1">
        <f t="array" ref="Y6">CountByColor(C4:O12, X6)</f>
        <v>1</v>
      </c>
      <c r="Z6" s="74">
        <v>1.15E-2</v>
      </c>
    </row>
    <row r="7" spans="1:26">
      <c r="A7" s="98">
        <v>2</v>
      </c>
      <c r="B7" s="7">
        <f t="shared" si="0"/>
        <v>201</v>
      </c>
      <c r="C7" s="50">
        <v>43</v>
      </c>
      <c r="D7" s="50">
        <v>44</v>
      </c>
      <c r="E7" s="50">
        <v>45</v>
      </c>
      <c r="F7" s="50">
        <v>46</v>
      </c>
      <c r="G7" s="50">
        <v>47</v>
      </c>
      <c r="H7" s="50">
        <v>48</v>
      </c>
      <c r="I7" s="50">
        <v>49</v>
      </c>
      <c r="J7" s="50">
        <v>50</v>
      </c>
      <c r="K7" s="50">
        <v>67</v>
      </c>
      <c r="L7" s="50"/>
      <c r="M7" s="50">
        <v>68</v>
      </c>
      <c r="N7" s="50">
        <v>69</v>
      </c>
      <c r="O7" s="50">
        <v>70</v>
      </c>
      <c r="P7" s="117"/>
      <c r="R7" s="94"/>
      <c r="S7" s="16" t="s">
        <v>13</v>
      </c>
      <c r="T7" s="13" cm="1">
        <f t="array" ref="T7">CountByColor(C4:O70, S7)</f>
        <v>612</v>
      </c>
      <c r="U7" s="74">
        <v>0.94910000000000005</v>
      </c>
      <c r="W7" s="94"/>
      <c r="X7" s="16" t="s">
        <v>13</v>
      </c>
      <c r="Y7" s="13" cm="1">
        <f t="array" ref="Y7">CountByColor(C4:O12, X7)</f>
        <v>83</v>
      </c>
      <c r="Z7" s="74">
        <v>0.95399999999999996</v>
      </c>
    </row>
    <row r="8" spans="1:26">
      <c r="A8" s="106"/>
      <c r="B8" s="7">
        <f t="shared" si="0"/>
        <v>202</v>
      </c>
      <c r="C8" s="50">
        <v>51</v>
      </c>
      <c r="D8" s="50">
        <v>52</v>
      </c>
      <c r="E8" s="50">
        <v>53</v>
      </c>
      <c r="F8" s="50">
        <v>54</v>
      </c>
      <c r="G8" s="50">
        <v>55</v>
      </c>
      <c r="H8" s="50">
        <v>56</v>
      </c>
      <c r="I8" s="50">
        <v>57</v>
      </c>
      <c r="J8" s="50">
        <v>58</v>
      </c>
      <c r="K8" s="110"/>
      <c r="L8" s="111"/>
      <c r="M8" s="111"/>
      <c r="N8" s="111"/>
      <c r="O8" s="112"/>
      <c r="P8" s="117"/>
    </row>
    <row r="9" spans="1:26">
      <c r="A9" s="99"/>
      <c r="B9" s="7">
        <f t="shared" si="0"/>
        <v>203</v>
      </c>
      <c r="C9" s="66">
        <v>59</v>
      </c>
      <c r="D9" s="50">
        <v>60</v>
      </c>
      <c r="E9" s="50">
        <v>61</v>
      </c>
      <c r="F9" s="50">
        <v>62</v>
      </c>
      <c r="G9" s="66">
        <v>63</v>
      </c>
      <c r="H9" s="50">
        <v>64</v>
      </c>
      <c r="I9" s="50">
        <v>65</v>
      </c>
      <c r="J9" s="50">
        <v>66</v>
      </c>
      <c r="K9" s="113"/>
      <c r="L9" s="114"/>
      <c r="M9" s="114"/>
      <c r="N9" s="114"/>
      <c r="O9" s="115"/>
      <c r="P9" s="117"/>
      <c r="W9" s="92" t="s">
        <v>14</v>
      </c>
      <c r="X9" s="12" t="s">
        <v>10</v>
      </c>
      <c r="Y9" s="13">
        <f>SUM(Y10:Y12)</f>
        <v>87</v>
      </c>
      <c r="Z9" s="73">
        <v>1</v>
      </c>
    </row>
    <row r="10" spans="1:26">
      <c r="A10" s="98">
        <v>3</v>
      </c>
      <c r="B10" s="7">
        <f t="shared" si="0"/>
        <v>301</v>
      </c>
      <c r="C10" s="50">
        <v>72</v>
      </c>
      <c r="D10" s="50">
        <v>73</v>
      </c>
      <c r="E10" s="50">
        <v>74</v>
      </c>
      <c r="F10" s="50">
        <v>75</v>
      </c>
      <c r="G10" s="50">
        <v>76</v>
      </c>
      <c r="H10" s="50">
        <v>77</v>
      </c>
      <c r="I10" s="50">
        <v>78</v>
      </c>
      <c r="J10" s="50">
        <v>79</v>
      </c>
      <c r="K10" s="50">
        <v>71</v>
      </c>
      <c r="L10" s="50">
        <v>96</v>
      </c>
      <c r="M10" s="50">
        <v>97</v>
      </c>
      <c r="N10" s="50">
        <v>98</v>
      </c>
      <c r="O10" s="50">
        <v>99</v>
      </c>
      <c r="P10" s="117"/>
      <c r="W10" s="93"/>
      <c r="X10" s="14" t="s">
        <v>11</v>
      </c>
      <c r="Y10" s="13" cm="1">
        <f t="array" ref="Y10">CountByColor(C13:O21, X10)</f>
        <v>0</v>
      </c>
      <c r="Z10" s="73">
        <v>0</v>
      </c>
    </row>
    <row r="11" spans="1:26">
      <c r="A11" s="106"/>
      <c r="B11" s="7">
        <f t="shared" si="0"/>
        <v>302</v>
      </c>
      <c r="C11" s="50">
        <v>80</v>
      </c>
      <c r="D11" s="50">
        <v>81</v>
      </c>
      <c r="E11" s="50">
        <v>82</v>
      </c>
      <c r="F11" s="50">
        <v>83</v>
      </c>
      <c r="G11" s="66">
        <v>84</v>
      </c>
      <c r="H11" s="67">
        <v>85</v>
      </c>
      <c r="I11" s="50">
        <v>86</v>
      </c>
      <c r="J11" s="50">
        <v>87</v>
      </c>
      <c r="K11" s="110"/>
      <c r="L11" s="111"/>
      <c r="M11" s="111"/>
      <c r="N11" s="111"/>
      <c r="O11" s="112"/>
      <c r="P11" s="117"/>
      <c r="W11" s="93"/>
      <c r="X11" s="15" t="s">
        <v>12</v>
      </c>
      <c r="Y11" s="13" cm="1">
        <f t="array" ref="Y11">CountByColor(C13:O21, X11)</f>
        <v>0</v>
      </c>
      <c r="Z11" s="73">
        <v>0</v>
      </c>
    </row>
    <row r="12" spans="1:26">
      <c r="A12" s="99"/>
      <c r="B12" s="7">
        <f t="shared" si="0"/>
        <v>303</v>
      </c>
      <c r="C12" s="50">
        <v>88</v>
      </c>
      <c r="D12" s="50">
        <v>89</v>
      </c>
      <c r="E12" s="50">
        <v>90</v>
      </c>
      <c r="F12" s="50">
        <v>91</v>
      </c>
      <c r="G12" s="50">
        <v>92</v>
      </c>
      <c r="H12" s="50">
        <v>93</v>
      </c>
      <c r="I12" s="50">
        <v>94</v>
      </c>
      <c r="J12" s="50">
        <v>95</v>
      </c>
      <c r="K12" s="113"/>
      <c r="L12" s="114"/>
      <c r="M12" s="114"/>
      <c r="N12" s="114"/>
      <c r="O12" s="115"/>
      <c r="P12" s="118"/>
      <c r="W12" s="94"/>
      <c r="X12" s="16" t="s">
        <v>13</v>
      </c>
      <c r="Y12" s="13" cm="1">
        <f t="array" ref="Y12">CountByColor(C13:O21, X12)</f>
        <v>87</v>
      </c>
      <c r="Z12" s="73">
        <v>1</v>
      </c>
    </row>
    <row r="13" spans="1:26">
      <c r="A13" s="98">
        <v>4</v>
      </c>
      <c r="B13" s="7">
        <f t="shared" si="0"/>
        <v>401</v>
      </c>
      <c r="C13" s="50">
        <v>2</v>
      </c>
      <c r="D13" s="50">
        <v>3</v>
      </c>
      <c r="E13" s="50">
        <v>4</v>
      </c>
      <c r="F13" s="50">
        <v>5</v>
      </c>
      <c r="G13" s="50">
        <v>6</v>
      </c>
      <c r="H13" s="50">
        <v>7</v>
      </c>
      <c r="I13" s="50">
        <v>8</v>
      </c>
      <c r="J13" s="50">
        <v>9</v>
      </c>
      <c r="K13" s="50">
        <v>1</v>
      </c>
      <c r="L13" s="50">
        <v>26</v>
      </c>
      <c r="M13" s="50">
        <v>27</v>
      </c>
      <c r="N13" s="50">
        <v>28</v>
      </c>
      <c r="O13" s="50">
        <v>29</v>
      </c>
      <c r="P13" s="116" t="s">
        <v>14</v>
      </c>
    </row>
    <row r="14" spans="1:26">
      <c r="A14" s="106"/>
      <c r="B14" s="7">
        <f t="shared" si="0"/>
        <v>402</v>
      </c>
      <c r="C14" s="50">
        <v>10</v>
      </c>
      <c r="D14" s="50">
        <v>11</v>
      </c>
      <c r="E14" s="50">
        <v>12</v>
      </c>
      <c r="F14" s="50">
        <v>13</v>
      </c>
      <c r="G14" s="50">
        <v>14</v>
      </c>
      <c r="H14" s="50">
        <v>15</v>
      </c>
      <c r="I14" s="50">
        <v>16</v>
      </c>
      <c r="J14" s="50">
        <v>17</v>
      </c>
      <c r="K14" s="110"/>
      <c r="L14" s="111"/>
      <c r="M14" s="111"/>
      <c r="N14" s="111"/>
      <c r="O14" s="112"/>
      <c r="P14" s="117"/>
      <c r="W14" s="92" t="s">
        <v>15</v>
      </c>
      <c r="X14" s="12" t="s">
        <v>10</v>
      </c>
      <c r="Y14" s="13">
        <f>SUM(Y15:Y17)</f>
        <v>87</v>
      </c>
      <c r="Z14" s="73">
        <v>1</v>
      </c>
    </row>
    <row r="15" spans="1:26">
      <c r="A15" s="99"/>
      <c r="B15" s="7">
        <f t="shared" si="0"/>
        <v>403</v>
      </c>
      <c r="C15" s="50">
        <v>18</v>
      </c>
      <c r="D15" s="50">
        <v>19</v>
      </c>
      <c r="E15" s="50">
        <v>20</v>
      </c>
      <c r="F15" s="50">
        <v>21</v>
      </c>
      <c r="G15" s="50">
        <v>22</v>
      </c>
      <c r="H15" s="50">
        <v>23</v>
      </c>
      <c r="I15" s="50">
        <v>24</v>
      </c>
      <c r="J15" s="50">
        <v>25</v>
      </c>
      <c r="K15" s="113"/>
      <c r="L15" s="114"/>
      <c r="M15" s="114"/>
      <c r="N15" s="114"/>
      <c r="O15" s="115"/>
      <c r="P15" s="117"/>
      <c r="W15" s="93"/>
      <c r="X15" s="14" t="s">
        <v>11</v>
      </c>
      <c r="Y15" s="13" cm="1">
        <f t="array" ref="Y15">CountByColor(C22:O30, X15)</f>
        <v>2</v>
      </c>
      <c r="Z15" s="74">
        <v>2.3E-2</v>
      </c>
    </row>
    <row r="16" spans="1:26">
      <c r="A16" s="98">
        <v>5</v>
      </c>
      <c r="B16" s="7">
        <f t="shared" si="0"/>
        <v>501</v>
      </c>
      <c r="C16" s="50">
        <v>31</v>
      </c>
      <c r="D16" s="50">
        <v>32</v>
      </c>
      <c r="E16" s="50">
        <v>33</v>
      </c>
      <c r="F16" s="50">
        <v>34</v>
      </c>
      <c r="G16" s="50">
        <v>35</v>
      </c>
      <c r="H16" s="50">
        <v>36</v>
      </c>
      <c r="I16" s="50">
        <v>37</v>
      </c>
      <c r="J16" s="50">
        <v>38</v>
      </c>
      <c r="K16" s="50">
        <v>30</v>
      </c>
      <c r="L16" s="50">
        <v>55</v>
      </c>
      <c r="M16" s="50">
        <v>56</v>
      </c>
      <c r="N16" s="50">
        <v>57</v>
      </c>
      <c r="O16" s="50">
        <v>58</v>
      </c>
      <c r="P16" s="117"/>
      <c r="W16" s="93"/>
      <c r="X16" s="15" t="s">
        <v>12</v>
      </c>
      <c r="Y16" s="13" cm="1">
        <f t="array" ref="Y16">CountByColor(C22:O30, X16)</f>
        <v>1</v>
      </c>
      <c r="Z16" s="74">
        <v>1.15E-2</v>
      </c>
    </row>
    <row r="17" spans="1:26">
      <c r="A17" s="106"/>
      <c r="B17" s="7">
        <f t="shared" si="0"/>
        <v>502</v>
      </c>
      <c r="C17" s="50">
        <v>39</v>
      </c>
      <c r="D17" s="50">
        <v>40</v>
      </c>
      <c r="E17" s="50">
        <v>41</v>
      </c>
      <c r="F17" s="50">
        <v>42</v>
      </c>
      <c r="G17" s="50">
        <v>43</v>
      </c>
      <c r="H17" s="50">
        <v>44</v>
      </c>
      <c r="I17" s="50">
        <v>45</v>
      </c>
      <c r="J17" s="50">
        <v>46</v>
      </c>
      <c r="K17" s="110"/>
      <c r="L17" s="111"/>
      <c r="M17" s="111"/>
      <c r="N17" s="111"/>
      <c r="O17" s="112"/>
      <c r="P17" s="117"/>
      <c r="W17" s="94"/>
      <c r="X17" s="16" t="s">
        <v>13</v>
      </c>
      <c r="Y17" s="13" cm="1">
        <f t="array" ref="Y17">CountByColor(C22:O30, X17)</f>
        <v>84</v>
      </c>
      <c r="Z17" s="74">
        <v>0.96550000000000002</v>
      </c>
    </row>
    <row r="18" spans="1:26">
      <c r="A18" s="99"/>
      <c r="B18" s="7">
        <f t="shared" si="0"/>
        <v>503</v>
      </c>
      <c r="C18" s="50">
        <v>47</v>
      </c>
      <c r="D18" s="50">
        <v>48</v>
      </c>
      <c r="E18" s="50">
        <v>49</v>
      </c>
      <c r="F18" s="50">
        <v>50</v>
      </c>
      <c r="G18" s="50">
        <v>51</v>
      </c>
      <c r="H18" s="50">
        <v>52</v>
      </c>
      <c r="I18" s="50">
        <v>53</v>
      </c>
      <c r="J18" s="50">
        <v>54</v>
      </c>
      <c r="K18" s="113"/>
      <c r="L18" s="114"/>
      <c r="M18" s="114"/>
      <c r="N18" s="114"/>
      <c r="O18" s="115"/>
      <c r="P18" s="117"/>
    </row>
    <row r="19" spans="1:26">
      <c r="A19" s="98">
        <v>6</v>
      </c>
      <c r="B19" s="7">
        <f t="shared" si="0"/>
        <v>601</v>
      </c>
      <c r="C19" s="50">
        <v>60</v>
      </c>
      <c r="D19" s="50">
        <v>61</v>
      </c>
      <c r="E19" s="50">
        <v>62</v>
      </c>
      <c r="F19" s="50">
        <v>63</v>
      </c>
      <c r="G19" s="50">
        <v>64</v>
      </c>
      <c r="H19" s="50">
        <v>65</v>
      </c>
      <c r="I19" s="50">
        <v>66</v>
      </c>
      <c r="J19" s="50">
        <v>67</v>
      </c>
      <c r="K19" s="50">
        <v>59</v>
      </c>
      <c r="L19" s="50">
        <v>84</v>
      </c>
      <c r="M19" s="50">
        <v>85</v>
      </c>
      <c r="N19" s="50">
        <v>86</v>
      </c>
      <c r="O19" s="50">
        <v>87</v>
      </c>
      <c r="P19" s="117"/>
      <c r="W19" s="92" t="s">
        <v>16</v>
      </c>
      <c r="X19" s="12" t="s">
        <v>10</v>
      </c>
      <c r="Y19" s="13">
        <f>SUM(Y20:Y22)</f>
        <v>87</v>
      </c>
      <c r="Z19" s="73">
        <v>1</v>
      </c>
    </row>
    <row r="20" spans="1:26">
      <c r="A20" s="106"/>
      <c r="B20" s="7">
        <f t="shared" si="0"/>
        <v>602</v>
      </c>
      <c r="C20" s="50">
        <v>68</v>
      </c>
      <c r="D20" s="50">
        <v>69</v>
      </c>
      <c r="E20" s="50">
        <v>70</v>
      </c>
      <c r="F20" s="50">
        <v>71</v>
      </c>
      <c r="G20" s="50">
        <v>72</v>
      </c>
      <c r="H20" s="50">
        <v>73</v>
      </c>
      <c r="I20" s="50">
        <v>74</v>
      </c>
      <c r="J20" s="50">
        <v>75</v>
      </c>
      <c r="K20" s="110"/>
      <c r="L20" s="111"/>
      <c r="M20" s="111"/>
      <c r="N20" s="111"/>
      <c r="O20" s="112"/>
      <c r="P20" s="117"/>
      <c r="W20" s="93"/>
      <c r="X20" s="14" t="s">
        <v>11</v>
      </c>
      <c r="Y20" s="13" cm="1">
        <f t="array" ref="Y20">CountByColor(C31:O39, X20)</f>
        <v>2</v>
      </c>
      <c r="Z20" s="74">
        <v>2.3E-2</v>
      </c>
    </row>
    <row r="21" spans="1:26">
      <c r="A21" s="99"/>
      <c r="B21" s="7">
        <f t="shared" si="0"/>
        <v>603</v>
      </c>
      <c r="C21" s="50">
        <v>76</v>
      </c>
      <c r="D21" s="50">
        <v>77</v>
      </c>
      <c r="E21" s="50">
        <v>78</v>
      </c>
      <c r="F21" s="50">
        <v>79</v>
      </c>
      <c r="G21" s="50">
        <v>80</v>
      </c>
      <c r="H21" s="50">
        <v>81</v>
      </c>
      <c r="I21" s="50">
        <v>82</v>
      </c>
      <c r="J21" s="50">
        <v>83</v>
      </c>
      <c r="K21" s="113"/>
      <c r="L21" s="114"/>
      <c r="M21" s="114"/>
      <c r="N21" s="114"/>
      <c r="O21" s="115"/>
      <c r="P21" s="118"/>
      <c r="W21" s="93"/>
      <c r="X21" s="15" t="s">
        <v>12</v>
      </c>
      <c r="Y21" s="13" cm="1">
        <f t="array" ref="Y21">CountByColor(C31:O39, X21)</f>
        <v>1</v>
      </c>
      <c r="Z21" s="74">
        <v>1.15E-2</v>
      </c>
    </row>
    <row r="22" spans="1:26">
      <c r="A22" s="98">
        <v>7</v>
      </c>
      <c r="B22" s="7">
        <f t="shared" si="0"/>
        <v>701</v>
      </c>
      <c r="C22" s="50">
        <v>2</v>
      </c>
      <c r="D22" s="50">
        <v>3</v>
      </c>
      <c r="E22" s="50">
        <v>4</v>
      </c>
      <c r="F22" s="50">
        <v>5</v>
      </c>
      <c r="G22" s="50">
        <v>6</v>
      </c>
      <c r="H22" s="50">
        <v>7</v>
      </c>
      <c r="I22" s="50">
        <v>8</v>
      </c>
      <c r="J22" s="50">
        <v>9</v>
      </c>
      <c r="K22" s="50">
        <v>1</v>
      </c>
      <c r="L22" s="50">
        <v>26</v>
      </c>
      <c r="M22" s="50">
        <v>27</v>
      </c>
      <c r="N22" s="50">
        <v>28</v>
      </c>
      <c r="O22" s="50">
        <v>29</v>
      </c>
      <c r="P22" s="116" t="s">
        <v>15</v>
      </c>
      <c r="W22" s="94"/>
      <c r="X22" s="16" t="s">
        <v>13</v>
      </c>
      <c r="Y22" s="13" cm="1">
        <f t="array" ref="Y22">CountByColor(C31:O39, X22)</f>
        <v>84</v>
      </c>
      <c r="Z22" s="74">
        <v>0.96550000000000002</v>
      </c>
    </row>
    <row r="23" spans="1:26">
      <c r="A23" s="106"/>
      <c r="B23" s="7">
        <f t="shared" si="0"/>
        <v>702</v>
      </c>
      <c r="C23" s="50">
        <v>10</v>
      </c>
      <c r="D23" s="67">
        <v>11</v>
      </c>
      <c r="E23" s="50">
        <v>12</v>
      </c>
      <c r="F23" s="50">
        <v>13</v>
      </c>
      <c r="G23" s="50">
        <v>14</v>
      </c>
      <c r="H23" s="50">
        <v>15</v>
      </c>
      <c r="I23" s="50">
        <v>16</v>
      </c>
      <c r="J23" s="50">
        <v>17</v>
      </c>
      <c r="K23" s="110"/>
      <c r="L23" s="111"/>
      <c r="M23" s="111"/>
      <c r="N23" s="111"/>
      <c r="O23" s="112"/>
      <c r="P23" s="117"/>
    </row>
    <row r="24" spans="1:26">
      <c r="A24" s="99"/>
      <c r="B24" s="7">
        <f t="shared" si="0"/>
        <v>703</v>
      </c>
      <c r="C24" s="66">
        <v>18</v>
      </c>
      <c r="D24" s="50">
        <v>19</v>
      </c>
      <c r="E24" s="50">
        <v>20</v>
      </c>
      <c r="F24" s="50">
        <v>21</v>
      </c>
      <c r="G24" s="50">
        <v>22</v>
      </c>
      <c r="H24" s="50">
        <v>23</v>
      </c>
      <c r="I24" s="50">
        <v>24</v>
      </c>
      <c r="J24" s="50">
        <v>25</v>
      </c>
      <c r="K24" s="113"/>
      <c r="L24" s="114"/>
      <c r="M24" s="114"/>
      <c r="N24" s="114"/>
      <c r="O24" s="115"/>
      <c r="P24" s="117"/>
      <c r="W24" s="92" t="s">
        <v>18</v>
      </c>
      <c r="X24" s="12" t="s">
        <v>10</v>
      </c>
      <c r="Y24" s="13">
        <f>SUM(Y25:Y27)</f>
        <v>87</v>
      </c>
      <c r="Z24" s="73">
        <v>1</v>
      </c>
    </row>
    <row r="25" spans="1:26">
      <c r="A25" s="98">
        <v>8</v>
      </c>
      <c r="B25" s="63">
        <f t="shared" si="0"/>
        <v>801</v>
      </c>
      <c r="C25" s="50">
        <v>31</v>
      </c>
      <c r="D25" s="50">
        <v>32</v>
      </c>
      <c r="E25" s="50">
        <v>33</v>
      </c>
      <c r="F25" s="50">
        <v>34</v>
      </c>
      <c r="G25" s="50">
        <v>35</v>
      </c>
      <c r="H25" s="50">
        <v>36</v>
      </c>
      <c r="I25" s="50">
        <v>37</v>
      </c>
      <c r="J25" s="50">
        <v>38</v>
      </c>
      <c r="K25" s="50">
        <v>30</v>
      </c>
      <c r="L25" s="50">
        <v>55</v>
      </c>
      <c r="M25" s="50">
        <v>56</v>
      </c>
      <c r="N25" s="50">
        <v>57</v>
      </c>
      <c r="O25" s="50">
        <v>58</v>
      </c>
      <c r="P25" s="117"/>
      <c r="W25" s="93"/>
      <c r="X25" s="14" t="s">
        <v>11</v>
      </c>
      <c r="Y25" s="13" cm="1">
        <f t="array" ref="Y25">CountByColor(C40:O48, X25)</f>
        <v>2</v>
      </c>
      <c r="Z25" s="74">
        <v>2.3E-2</v>
      </c>
    </row>
    <row r="26" spans="1:26">
      <c r="A26" s="106"/>
      <c r="B26" s="7">
        <f t="shared" si="0"/>
        <v>802</v>
      </c>
      <c r="C26" s="50">
        <v>39</v>
      </c>
      <c r="D26" s="50">
        <v>40</v>
      </c>
      <c r="E26" s="50">
        <v>41</v>
      </c>
      <c r="F26" s="50">
        <v>42</v>
      </c>
      <c r="G26" s="50">
        <v>43</v>
      </c>
      <c r="H26" s="50">
        <v>44</v>
      </c>
      <c r="I26" s="50">
        <v>45</v>
      </c>
      <c r="J26" s="50">
        <v>46</v>
      </c>
      <c r="K26" s="110"/>
      <c r="L26" s="111"/>
      <c r="M26" s="111"/>
      <c r="N26" s="111"/>
      <c r="O26" s="112"/>
      <c r="P26" s="117"/>
      <c r="W26" s="93"/>
      <c r="X26" s="15" t="s">
        <v>12</v>
      </c>
      <c r="Y26" s="13" cm="1">
        <f t="array" ref="Y26">CountByColor(C40:O48, X26)</f>
        <v>0</v>
      </c>
      <c r="Z26" s="73">
        <v>0</v>
      </c>
    </row>
    <row r="27" spans="1:26">
      <c r="A27" s="99"/>
      <c r="B27" s="7">
        <f t="shared" si="0"/>
        <v>803</v>
      </c>
      <c r="C27" s="50">
        <v>47</v>
      </c>
      <c r="D27" s="50">
        <v>48</v>
      </c>
      <c r="E27" s="50">
        <v>49</v>
      </c>
      <c r="F27" s="50">
        <v>50</v>
      </c>
      <c r="G27" s="50">
        <v>51</v>
      </c>
      <c r="H27" s="50">
        <v>52</v>
      </c>
      <c r="I27" s="50">
        <v>53</v>
      </c>
      <c r="J27" s="50">
        <v>54</v>
      </c>
      <c r="K27" s="113"/>
      <c r="L27" s="114"/>
      <c r="M27" s="114"/>
      <c r="N27" s="114"/>
      <c r="O27" s="115"/>
      <c r="P27" s="117"/>
      <c r="W27" s="94"/>
      <c r="X27" s="16" t="s">
        <v>13</v>
      </c>
      <c r="Y27" s="13" cm="1">
        <f t="array" ref="Y27">CountByColor(C40:O48, X27)</f>
        <v>85</v>
      </c>
      <c r="Z27" s="74">
        <v>0.97699999999999998</v>
      </c>
    </row>
    <row r="28" spans="1:26">
      <c r="A28" s="98">
        <v>9</v>
      </c>
      <c r="B28" s="7">
        <f t="shared" si="0"/>
        <v>901</v>
      </c>
      <c r="C28" s="50">
        <v>60</v>
      </c>
      <c r="D28" s="50">
        <v>61</v>
      </c>
      <c r="E28" s="50">
        <v>62</v>
      </c>
      <c r="F28" s="50">
        <v>63</v>
      </c>
      <c r="G28" s="50">
        <v>64</v>
      </c>
      <c r="H28" s="50">
        <v>65</v>
      </c>
      <c r="I28" s="50">
        <v>66</v>
      </c>
      <c r="J28" s="50">
        <v>67</v>
      </c>
      <c r="K28" s="50">
        <v>59</v>
      </c>
      <c r="L28" s="66">
        <v>84</v>
      </c>
      <c r="M28" s="50">
        <v>85</v>
      </c>
      <c r="N28" s="50">
        <v>86</v>
      </c>
      <c r="O28" s="50">
        <v>87</v>
      </c>
      <c r="P28" s="117"/>
    </row>
    <row r="29" spans="1:26">
      <c r="A29" s="106"/>
      <c r="B29" s="7">
        <f t="shared" si="0"/>
        <v>902</v>
      </c>
      <c r="C29" s="50">
        <v>68</v>
      </c>
      <c r="D29" s="50">
        <v>69</v>
      </c>
      <c r="E29" s="50">
        <v>70</v>
      </c>
      <c r="F29" s="50">
        <v>71</v>
      </c>
      <c r="G29" s="50">
        <v>72</v>
      </c>
      <c r="H29" s="50">
        <v>73</v>
      </c>
      <c r="I29" s="50">
        <v>74</v>
      </c>
      <c r="J29" s="50">
        <v>75</v>
      </c>
      <c r="K29" s="110"/>
      <c r="L29" s="111"/>
      <c r="M29" s="111"/>
      <c r="N29" s="111"/>
      <c r="O29" s="112"/>
      <c r="P29" s="117"/>
      <c r="W29" s="92" t="s">
        <v>20</v>
      </c>
      <c r="X29" s="12" t="s">
        <v>10</v>
      </c>
      <c r="Y29" s="13">
        <f>SUM(Y30:Y32)</f>
        <v>87</v>
      </c>
      <c r="Z29" s="73">
        <v>1</v>
      </c>
    </row>
    <row r="30" spans="1:26">
      <c r="A30" s="99"/>
      <c r="B30" s="7">
        <f t="shared" si="0"/>
        <v>903</v>
      </c>
      <c r="C30" s="50">
        <v>76</v>
      </c>
      <c r="D30" s="50">
        <v>77</v>
      </c>
      <c r="E30" s="50">
        <v>78</v>
      </c>
      <c r="F30" s="50">
        <v>79</v>
      </c>
      <c r="G30" s="50">
        <v>80</v>
      </c>
      <c r="H30" s="50">
        <v>81</v>
      </c>
      <c r="I30" s="50">
        <v>82</v>
      </c>
      <c r="J30" s="50">
        <v>83</v>
      </c>
      <c r="K30" s="113"/>
      <c r="L30" s="114"/>
      <c r="M30" s="114"/>
      <c r="N30" s="114"/>
      <c r="O30" s="115"/>
      <c r="P30" s="118"/>
      <c r="W30" s="93"/>
      <c r="X30" s="14" t="s">
        <v>11</v>
      </c>
      <c r="Y30" s="13" cm="1">
        <f t="array" ref="Y30">CountByColor(C49:O57, X30)</f>
        <v>2</v>
      </c>
      <c r="Z30" s="74">
        <v>2.3E-2</v>
      </c>
    </row>
    <row r="31" spans="1:26">
      <c r="A31" s="98">
        <v>10</v>
      </c>
      <c r="B31" s="7">
        <f t="shared" si="0"/>
        <v>1001</v>
      </c>
      <c r="C31" s="66">
        <v>2</v>
      </c>
      <c r="D31" s="50">
        <v>3</v>
      </c>
      <c r="E31" s="50">
        <v>4</v>
      </c>
      <c r="F31" s="50">
        <v>5</v>
      </c>
      <c r="G31" s="50">
        <v>6</v>
      </c>
      <c r="H31" s="50">
        <v>7</v>
      </c>
      <c r="I31" s="50">
        <v>8</v>
      </c>
      <c r="J31" s="50">
        <v>9</v>
      </c>
      <c r="K31" s="50">
        <v>1</v>
      </c>
      <c r="L31" s="50">
        <v>26</v>
      </c>
      <c r="M31" s="50">
        <v>27</v>
      </c>
      <c r="N31" s="50">
        <v>28</v>
      </c>
      <c r="O31" s="50">
        <v>29</v>
      </c>
      <c r="P31" s="116" t="s">
        <v>16</v>
      </c>
      <c r="W31" s="93"/>
      <c r="X31" s="15" t="s">
        <v>12</v>
      </c>
      <c r="Y31" s="13" cm="1">
        <f t="array" ref="Y31">CountByColor(C49:O57, X31)</f>
        <v>0</v>
      </c>
      <c r="Z31" s="73">
        <v>0</v>
      </c>
    </row>
    <row r="32" spans="1:26">
      <c r="A32" s="106"/>
      <c r="B32" s="7">
        <f t="shared" si="0"/>
        <v>1002</v>
      </c>
      <c r="C32" s="50">
        <v>10</v>
      </c>
      <c r="D32" s="50">
        <v>11</v>
      </c>
      <c r="E32" s="50">
        <v>12</v>
      </c>
      <c r="F32" s="50">
        <v>13</v>
      </c>
      <c r="G32" s="50">
        <v>14</v>
      </c>
      <c r="H32" s="50">
        <v>15</v>
      </c>
      <c r="I32" s="50">
        <v>16</v>
      </c>
      <c r="J32" s="50">
        <v>17</v>
      </c>
      <c r="K32" s="110"/>
      <c r="L32" s="111"/>
      <c r="M32" s="111"/>
      <c r="N32" s="111"/>
      <c r="O32" s="112"/>
      <c r="P32" s="117"/>
      <c r="W32" s="94"/>
      <c r="X32" s="16" t="s">
        <v>13</v>
      </c>
      <c r="Y32" s="13" cm="1">
        <f t="array" ref="Y32">CountByColor(C49:O57, X32)</f>
        <v>85</v>
      </c>
      <c r="Z32" s="74">
        <v>0.97699999999999998</v>
      </c>
    </row>
    <row r="33" spans="1:26">
      <c r="A33" s="99"/>
      <c r="B33" s="7">
        <f t="shared" si="0"/>
        <v>1003</v>
      </c>
      <c r="C33" s="66">
        <v>18</v>
      </c>
      <c r="D33" s="50">
        <v>19</v>
      </c>
      <c r="E33" s="50">
        <v>20</v>
      </c>
      <c r="F33" s="50">
        <v>21</v>
      </c>
      <c r="G33" s="50">
        <v>22</v>
      </c>
      <c r="H33" s="50">
        <v>23</v>
      </c>
      <c r="I33" s="50">
        <v>24</v>
      </c>
      <c r="J33" s="50">
        <v>25</v>
      </c>
      <c r="K33" s="113"/>
      <c r="L33" s="114"/>
      <c r="M33" s="114"/>
      <c r="N33" s="114"/>
      <c r="O33" s="115"/>
      <c r="P33" s="117"/>
    </row>
    <row r="34" spans="1:26">
      <c r="A34" s="98">
        <v>11</v>
      </c>
      <c r="B34" s="7">
        <f t="shared" si="0"/>
        <v>1101</v>
      </c>
      <c r="C34" s="50">
        <v>31</v>
      </c>
      <c r="D34" s="50">
        <v>32</v>
      </c>
      <c r="E34" s="50">
        <v>33</v>
      </c>
      <c r="F34" s="50">
        <v>34</v>
      </c>
      <c r="G34" s="50">
        <v>35</v>
      </c>
      <c r="H34" s="50">
        <v>36</v>
      </c>
      <c r="I34" s="50">
        <v>37</v>
      </c>
      <c r="J34" s="50">
        <v>38</v>
      </c>
      <c r="K34" s="50">
        <v>30</v>
      </c>
      <c r="L34" s="50">
        <v>55</v>
      </c>
      <c r="M34" s="50">
        <v>56</v>
      </c>
      <c r="N34" s="50">
        <v>57</v>
      </c>
      <c r="O34" s="50">
        <v>58</v>
      </c>
      <c r="P34" s="117"/>
      <c r="W34" s="92" t="s">
        <v>21</v>
      </c>
      <c r="X34" s="12" t="s">
        <v>10</v>
      </c>
      <c r="Y34" s="13">
        <f>SUM(Y35:Y37)</f>
        <v>122</v>
      </c>
      <c r="Z34" s="73">
        <v>1</v>
      </c>
    </row>
    <row r="35" spans="1:26">
      <c r="A35" s="106"/>
      <c r="B35" s="7">
        <f t="shared" si="0"/>
        <v>1102</v>
      </c>
      <c r="C35" s="50">
        <v>39</v>
      </c>
      <c r="D35" s="50">
        <v>40</v>
      </c>
      <c r="E35" s="50">
        <v>41</v>
      </c>
      <c r="F35" s="50">
        <v>42</v>
      </c>
      <c r="G35" s="50">
        <v>43</v>
      </c>
      <c r="H35" s="50">
        <v>44</v>
      </c>
      <c r="I35" s="50">
        <v>45</v>
      </c>
      <c r="J35" s="50">
        <v>46</v>
      </c>
      <c r="K35" s="110"/>
      <c r="L35" s="111"/>
      <c r="M35" s="111"/>
      <c r="N35" s="111"/>
      <c r="O35" s="112"/>
      <c r="P35" s="117"/>
      <c r="W35" s="93"/>
      <c r="X35" s="14" t="s">
        <v>11</v>
      </c>
      <c r="Y35" s="13" cm="1">
        <f t="array" ref="Y35">CountByColor(C58:O70, X35)</f>
        <v>8</v>
      </c>
      <c r="Z35" s="74">
        <v>6.5600000000000006E-2</v>
      </c>
    </row>
    <row r="36" spans="1:26">
      <c r="A36" s="99"/>
      <c r="B36" s="7">
        <f t="shared" si="0"/>
        <v>1103</v>
      </c>
      <c r="C36" s="50">
        <v>47</v>
      </c>
      <c r="D36" s="50">
        <v>48</v>
      </c>
      <c r="E36" s="50">
        <v>49</v>
      </c>
      <c r="F36" s="50">
        <v>50</v>
      </c>
      <c r="G36" s="50">
        <v>51</v>
      </c>
      <c r="H36" s="50">
        <v>52</v>
      </c>
      <c r="I36" s="50">
        <v>53</v>
      </c>
      <c r="J36" s="50">
        <v>54</v>
      </c>
      <c r="K36" s="113"/>
      <c r="L36" s="114"/>
      <c r="M36" s="114"/>
      <c r="N36" s="114"/>
      <c r="O36" s="115"/>
      <c r="P36" s="117"/>
      <c r="W36" s="93"/>
      <c r="X36" s="15" t="s">
        <v>12</v>
      </c>
      <c r="Y36" s="13" cm="1">
        <f t="array" ref="Y36">CountByColor(C58:O70, X36)</f>
        <v>10</v>
      </c>
      <c r="Z36" s="74">
        <v>8.2000000000000003E-2</v>
      </c>
    </row>
    <row r="37" spans="1:26">
      <c r="A37" s="98">
        <v>12</v>
      </c>
      <c r="B37" s="7">
        <f t="shared" si="0"/>
        <v>1201</v>
      </c>
      <c r="C37" s="50">
        <v>60</v>
      </c>
      <c r="D37" s="50">
        <v>61</v>
      </c>
      <c r="E37" s="50">
        <v>62</v>
      </c>
      <c r="F37" s="50">
        <v>63</v>
      </c>
      <c r="G37" s="50">
        <v>64</v>
      </c>
      <c r="H37" s="50">
        <v>65</v>
      </c>
      <c r="I37" s="50">
        <v>66</v>
      </c>
      <c r="J37" s="50">
        <v>67</v>
      </c>
      <c r="K37" s="50">
        <v>59</v>
      </c>
      <c r="L37" s="50">
        <v>84</v>
      </c>
      <c r="M37" s="50">
        <v>85</v>
      </c>
      <c r="N37" s="50">
        <v>86</v>
      </c>
      <c r="O37" s="50">
        <v>87</v>
      </c>
      <c r="P37" s="117"/>
      <c r="W37" s="94"/>
      <c r="X37" s="16" t="s">
        <v>13</v>
      </c>
      <c r="Y37" s="13" cm="1">
        <f t="array" ref="Y37">CountByColor(C58:O70, X37)</f>
        <v>104</v>
      </c>
      <c r="Z37" s="74">
        <v>0.85250000000000004</v>
      </c>
    </row>
    <row r="38" spans="1:26">
      <c r="A38" s="106"/>
      <c r="B38" s="7">
        <f t="shared" si="0"/>
        <v>1202</v>
      </c>
      <c r="C38" s="50">
        <v>68</v>
      </c>
      <c r="D38" s="50">
        <v>69</v>
      </c>
      <c r="E38" s="50">
        <v>70</v>
      </c>
      <c r="F38" s="50">
        <v>71</v>
      </c>
      <c r="G38" s="50">
        <v>72</v>
      </c>
      <c r="H38" s="50">
        <v>73</v>
      </c>
      <c r="I38" s="50">
        <v>74</v>
      </c>
      <c r="J38" s="50">
        <v>75</v>
      </c>
      <c r="K38" s="110"/>
      <c r="L38" s="111"/>
      <c r="M38" s="111"/>
      <c r="N38" s="111"/>
      <c r="O38" s="112"/>
      <c r="P38" s="117"/>
    </row>
    <row r="39" spans="1:26">
      <c r="A39" s="99"/>
      <c r="B39" s="7">
        <f t="shared" si="0"/>
        <v>1203</v>
      </c>
      <c r="C39" s="67">
        <v>76</v>
      </c>
      <c r="D39" s="50">
        <v>77</v>
      </c>
      <c r="E39" s="50">
        <v>78</v>
      </c>
      <c r="F39" s="50">
        <v>79</v>
      </c>
      <c r="G39" s="50">
        <v>80</v>
      </c>
      <c r="H39" s="50">
        <v>81</v>
      </c>
      <c r="I39" s="50">
        <v>82</v>
      </c>
      <c r="J39" s="50">
        <v>83</v>
      </c>
      <c r="K39" s="113"/>
      <c r="L39" s="114"/>
      <c r="M39" s="114"/>
      <c r="N39" s="114"/>
      <c r="O39" s="115"/>
      <c r="P39" s="118"/>
    </row>
    <row r="40" spans="1:26">
      <c r="A40" s="98">
        <v>13</v>
      </c>
      <c r="B40" s="7">
        <f t="shared" si="0"/>
        <v>1301</v>
      </c>
      <c r="C40" s="50">
        <v>2</v>
      </c>
      <c r="D40" s="50">
        <v>3</v>
      </c>
      <c r="E40" s="50">
        <v>4</v>
      </c>
      <c r="F40" s="50">
        <v>5</v>
      </c>
      <c r="G40" s="50">
        <v>6</v>
      </c>
      <c r="H40" s="50">
        <v>7</v>
      </c>
      <c r="I40" s="50">
        <v>8</v>
      </c>
      <c r="J40" s="50">
        <v>9</v>
      </c>
      <c r="K40" s="50">
        <v>1</v>
      </c>
      <c r="L40" s="50">
        <v>26</v>
      </c>
      <c r="M40" s="50">
        <v>27</v>
      </c>
      <c r="N40" s="50">
        <v>28</v>
      </c>
      <c r="O40" s="50">
        <v>29</v>
      </c>
      <c r="P40" s="116" t="s">
        <v>18</v>
      </c>
    </row>
    <row r="41" spans="1:26">
      <c r="A41" s="106"/>
      <c r="B41" s="7">
        <f t="shared" si="0"/>
        <v>1302</v>
      </c>
      <c r="C41" s="50">
        <v>10</v>
      </c>
      <c r="D41" s="50">
        <v>11</v>
      </c>
      <c r="E41" s="50">
        <v>12</v>
      </c>
      <c r="F41" s="50">
        <v>13</v>
      </c>
      <c r="G41" s="66">
        <v>14</v>
      </c>
      <c r="H41" s="50">
        <v>15</v>
      </c>
      <c r="I41" s="50">
        <v>16</v>
      </c>
      <c r="J41" s="50">
        <v>17</v>
      </c>
      <c r="K41" s="110"/>
      <c r="L41" s="111"/>
      <c r="M41" s="111"/>
      <c r="N41" s="111"/>
      <c r="O41" s="112"/>
      <c r="P41" s="117"/>
    </row>
    <row r="42" spans="1:26">
      <c r="A42" s="99"/>
      <c r="B42" s="7">
        <f t="shared" si="0"/>
        <v>1303</v>
      </c>
      <c r="C42" s="50">
        <v>18</v>
      </c>
      <c r="D42" s="50">
        <v>19</v>
      </c>
      <c r="E42" s="50">
        <v>20</v>
      </c>
      <c r="F42" s="50">
        <v>21</v>
      </c>
      <c r="G42" s="50">
        <v>22</v>
      </c>
      <c r="H42" s="50">
        <v>23</v>
      </c>
      <c r="I42" s="50">
        <v>24</v>
      </c>
      <c r="J42" s="50">
        <v>25</v>
      </c>
      <c r="K42" s="113"/>
      <c r="L42" s="114"/>
      <c r="M42" s="114"/>
      <c r="N42" s="114"/>
      <c r="O42" s="115"/>
      <c r="P42" s="117"/>
    </row>
    <row r="43" spans="1:26">
      <c r="A43" s="98">
        <v>14</v>
      </c>
      <c r="B43" s="7">
        <f t="shared" si="0"/>
        <v>1401</v>
      </c>
      <c r="C43" s="50">
        <v>31</v>
      </c>
      <c r="D43" s="50">
        <v>32</v>
      </c>
      <c r="E43" s="50">
        <v>33</v>
      </c>
      <c r="F43" s="50">
        <v>34</v>
      </c>
      <c r="G43" s="50">
        <v>35</v>
      </c>
      <c r="H43" s="50">
        <v>36</v>
      </c>
      <c r="I43" s="50">
        <v>37</v>
      </c>
      <c r="J43" s="50">
        <v>38</v>
      </c>
      <c r="K43" s="50">
        <v>30</v>
      </c>
      <c r="L43" s="50">
        <v>55</v>
      </c>
      <c r="M43" s="50">
        <v>56</v>
      </c>
      <c r="N43" s="50">
        <v>57</v>
      </c>
      <c r="O43" s="50">
        <v>58</v>
      </c>
      <c r="P43" s="117"/>
    </row>
    <row r="44" spans="1:26">
      <c r="A44" s="106"/>
      <c r="B44" s="7">
        <f t="shared" si="0"/>
        <v>1402</v>
      </c>
      <c r="C44" s="50">
        <v>39</v>
      </c>
      <c r="D44" s="50">
        <v>40</v>
      </c>
      <c r="E44" s="50">
        <v>41</v>
      </c>
      <c r="F44" s="50">
        <v>42</v>
      </c>
      <c r="G44" s="50">
        <v>43</v>
      </c>
      <c r="H44" s="50">
        <v>44</v>
      </c>
      <c r="I44" s="50">
        <v>45</v>
      </c>
      <c r="J44" s="50">
        <v>46</v>
      </c>
      <c r="K44" s="110"/>
      <c r="L44" s="111"/>
      <c r="M44" s="111"/>
      <c r="N44" s="111"/>
      <c r="O44" s="112"/>
      <c r="P44" s="117"/>
    </row>
    <row r="45" spans="1:26">
      <c r="A45" s="99"/>
      <c r="B45" s="7">
        <f t="shared" si="0"/>
        <v>1403</v>
      </c>
      <c r="C45" s="50">
        <v>47</v>
      </c>
      <c r="D45" s="50">
        <v>48</v>
      </c>
      <c r="E45" s="50">
        <v>49</v>
      </c>
      <c r="F45" s="50">
        <v>50</v>
      </c>
      <c r="G45" s="50">
        <v>51</v>
      </c>
      <c r="H45" s="50">
        <v>52</v>
      </c>
      <c r="I45" s="50">
        <v>53</v>
      </c>
      <c r="J45" s="50">
        <v>54</v>
      </c>
      <c r="K45" s="113"/>
      <c r="L45" s="114"/>
      <c r="M45" s="114"/>
      <c r="N45" s="114"/>
      <c r="O45" s="115"/>
      <c r="P45" s="117"/>
    </row>
    <row r="46" spans="1:26">
      <c r="A46" s="98">
        <v>15</v>
      </c>
      <c r="B46" s="7">
        <f t="shared" si="0"/>
        <v>1501</v>
      </c>
      <c r="C46" s="50">
        <v>60</v>
      </c>
      <c r="D46" s="50">
        <v>61</v>
      </c>
      <c r="E46" s="50">
        <v>62</v>
      </c>
      <c r="F46" s="50">
        <v>63</v>
      </c>
      <c r="G46" s="50">
        <v>64</v>
      </c>
      <c r="H46" s="50">
        <v>65</v>
      </c>
      <c r="I46" s="50">
        <v>66</v>
      </c>
      <c r="J46" s="50">
        <v>67</v>
      </c>
      <c r="K46" s="50">
        <v>59</v>
      </c>
      <c r="L46" s="50">
        <v>84</v>
      </c>
      <c r="M46" s="50">
        <v>85</v>
      </c>
      <c r="N46" s="50">
        <v>86</v>
      </c>
      <c r="O46" s="50">
        <v>87</v>
      </c>
      <c r="P46" s="117"/>
    </row>
    <row r="47" spans="1:26">
      <c r="A47" s="106"/>
      <c r="B47" s="7">
        <f t="shared" si="0"/>
        <v>1502</v>
      </c>
      <c r="C47" s="50">
        <v>68</v>
      </c>
      <c r="D47" s="50">
        <v>69</v>
      </c>
      <c r="E47" s="50">
        <v>70</v>
      </c>
      <c r="F47" s="50">
        <v>71</v>
      </c>
      <c r="G47" s="50">
        <v>72</v>
      </c>
      <c r="H47" s="50">
        <v>73</v>
      </c>
      <c r="I47" s="50">
        <v>74</v>
      </c>
      <c r="J47" s="50">
        <v>75</v>
      </c>
      <c r="K47" s="110"/>
      <c r="L47" s="111"/>
      <c r="M47" s="111"/>
      <c r="N47" s="111"/>
      <c r="O47" s="112"/>
      <c r="P47" s="117"/>
    </row>
    <row r="48" spans="1:26">
      <c r="A48" s="99"/>
      <c r="B48" s="7">
        <f t="shared" si="0"/>
        <v>1503</v>
      </c>
      <c r="C48" s="66">
        <v>76</v>
      </c>
      <c r="D48" s="50">
        <v>77</v>
      </c>
      <c r="E48" s="50">
        <v>78</v>
      </c>
      <c r="F48" s="50">
        <v>79</v>
      </c>
      <c r="G48" s="50">
        <v>80</v>
      </c>
      <c r="H48" s="50">
        <v>81</v>
      </c>
      <c r="I48" s="50">
        <v>82</v>
      </c>
      <c r="J48" s="50">
        <v>83</v>
      </c>
      <c r="K48" s="113"/>
      <c r="L48" s="114"/>
      <c r="M48" s="114"/>
      <c r="N48" s="114"/>
      <c r="O48" s="115"/>
      <c r="P48" s="118"/>
    </row>
    <row r="49" spans="1:16">
      <c r="A49" s="98">
        <v>16</v>
      </c>
      <c r="B49" s="7">
        <f t="shared" si="0"/>
        <v>1601</v>
      </c>
      <c r="C49" s="50">
        <v>2</v>
      </c>
      <c r="D49" s="50">
        <v>3</v>
      </c>
      <c r="E49" s="50">
        <v>4</v>
      </c>
      <c r="F49" s="50">
        <v>5</v>
      </c>
      <c r="G49" s="50">
        <v>6</v>
      </c>
      <c r="H49" s="50">
        <v>7</v>
      </c>
      <c r="I49" s="50">
        <v>8</v>
      </c>
      <c r="J49" s="50">
        <v>9</v>
      </c>
      <c r="K49" s="50">
        <v>1</v>
      </c>
      <c r="L49" s="50">
        <v>26</v>
      </c>
      <c r="M49" s="50">
        <v>27</v>
      </c>
      <c r="N49" s="50">
        <v>28</v>
      </c>
      <c r="O49" s="50">
        <v>29</v>
      </c>
      <c r="P49" s="116" t="s">
        <v>20</v>
      </c>
    </row>
    <row r="50" spans="1:16">
      <c r="A50" s="106"/>
      <c r="B50" s="7">
        <f t="shared" si="0"/>
        <v>1602</v>
      </c>
      <c r="C50" s="50">
        <v>10</v>
      </c>
      <c r="D50" s="50">
        <v>11</v>
      </c>
      <c r="E50" s="50">
        <v>12</v>
      </c>
      <c r="F50" s="50">
        <v>13</v>
      </c>
      <c r="G50" s="66">
        <v>14</v>
      </c>
      <c r="H50" s="50">
        <v>15</v>
      </c>
      <c r="I50" s="50">
        <v>16</v>
      </c>
      <c r="J50" s="50">
        <v>17</v>
      </c>
      <c r="K50" s="110"/>
      <c r="L50" s="111"/>
      <c r="M50" s="111"/>
      <c r="N50" s="111"/>
      <c r="O50" s="112"/>
      <c r="P50" s="117"/>
    </row>
    <row r="51" spans="1:16">
      <c r="A51" s="99"/>
      <c r="B51" s="7">
        <f t="shared" si="0"/>
        <v>1603</v>
      </c>
      <c r="C51" s="50">
        <v>18</v>
      </c>
      <c r="D51" s="50">
        <v>19</v>
      </c>
      <c r="E51" s="50">
        <v>20</v>
      </c>
      <c r="F51" s="50">
        <v>21</v>
      </c>
      <c r="G51" s="50">
        <v>22</v>
      </c>
      <c r="H51" s="50">
        <v>23</v>
      </c>
      <c r="I51" s="50">
        <v>24</v>
      </c>
      <c r="J51" s="50">
        <v>25</v>
      </c>
      <c r="K51" s="113"/>
      <c r="L51" s="114"/>
      <c r="M51" s="114"/>
      <c r="N51" s="114"/>
      <c r="O51" s="115"/>
      <c r="P51" s="117"/>
    </row>
    <row r="52" spans="1:16">
      <c r="A52" s="98">
        <v>17</v>
      </c>
      <c r="B52" s="7">
        <f t="shared" si="0"/>
        <v>1701</v>
      </c>
      <c r="C52" s="50">
        <v>31</v>
      </c>
      <c r="D52" s="50">
        <v>32</v>
      </c>
      <c r="E52" s="50">
        <v>33</v>
      </c>
      <c r="F52" s="50">
        <v>34</v>
      </c>
      <c r="G52" s="50">
        <v>35</v>
      </c>
      <c r="H52" s="50">
        <v>36</v>
      </c>
      <c r="I52" s="50">
        <v>37</v>
      </c>
      <c r="J52" s="66">
        <v>38</v>
      </c>
      <c r="K52" s="50">
        <v>30</v>
      </c>
      <c r="L52" s="50">
        <v>55</v>
      </c>
      <c r="M52" s="50">
        <v>56</v>
      </c>
      <c r="N52" s="50">
        <v>57</v>
      </c>
      <c r="O52" s="50">
        <v>58</v>
      </c>
      <c r="P52" s="117"/>
    </row>
    <row r="53" spans="1:16">
      <c r="A53" s="106"/>
      <c r="B53" s="7">
        <f t="shared" si="0"/>
        <v>1702</v>
      </c>
      <c r="C53" s="50">
        <v>39</v>
      </c>
      <c r="D53" s="50">
        <v>40</v>
      </c>
      <c r="E53" s="50">
        <v>41</v>
      </c>
      <c r="F53" s="50">
        <v>42</v>
      </c>
      <c r="G53" s="50">
        <v>43</v>
      </c>
      <c r="H53" s="50">
        <v>44</v>
      </c>
      <c r="I53" s="50">
        <v>45</v>
      </c>
      <c r="J53" s="50">
        <v>46</v>
      </c>
      <c r="K53" s="110"/>
      <c r="L53" s="111"/>
      <c r="M53" s="111"/>
      <c r="N53" s="111"/>
      <c r="O53" s="112"/>
      <c r="P53" s="117"/>
    </row>
    <row r="54" spans="1:16">
      <c r="A54" s="99"/>
      <c r="B54" s="7">
        <f t="shared" si="0"/>
        <v>1703</v>
      </c>
      <c r="C54" s="50">
        <v>47</v>
      </c>
      <c r="D54" s="50">
        <v>48</v>
      </c>
      <c r="E54" s="50">
        <v>49</v>
      </c>
      <c r="F54" s="50">
        <v>50</v>
      </c>
      <c r="G54" s="50">
        <v>51</v>
      </c>
      <c r="H54" s="50">
        <v>52</v>
      </c>
      <c r="I54" s="50">
        <v>53</v>
      </c>
      <c r="J54" s="50">
        <v>54</v>
      </c>
      <c r="K54" s="113"/>
      <c r="L54" s="114"/>
      <c r="M54" s="114"/>
      <c r="N54" s="114"/>
      <c r="O54" s="115"/>
      <c r="P54" s="117"/>
    </row>
    <row r="55" spans="1:16">
      <c r="A55" s="98">
        <v>18</v>
      </c>
      <c r="B55" s="7">
        <f t="shared" si="0"/>
        <v>1801</v>
      </c>
      <c r="C55" s="50">
        <v>60</v>
      </c>
      <c r="D55" s="50">
        <v>61</v>
      </c>
      <c r="E55" s="50">
        <v>62</v>
      </c>
      <c r="F55" s="50">
        <v>63</v>
      </c>
      <c r="G55" s="50">
        <v>64</v>
      </c>
      <c r="H55" s="50">
        <v>65</v>
      </c>
      <c r="I55" s="50">
        <v>66</v>
      </c>
      <c r="J55" s="50">
        <v>67</v>
      </c>
      <c r="K55" s="50">
        <v>59</v>
      </c>
      <c r="L55" s="50">
        <v>84</v>
      </c>
      <c r="M55" s="50">
        <v>85</v>
      </c>
      <c r="N55" s="50">
        <v>86</v>
      </c>
      <c r="O55" s="50">
        <v>87</v>
      </c>
      <c r="P55" s="117"/>
    </row>
    <row r="56" spans="1:16">
      <c r="A56" s="106"/>
      <c r="B56" s="7">
        <f t="shared" si="0"/>
        <v>1802</v>
      </c>
      <c r="C56" s="50">
        <v>68</v>
      </c>
      <c r="D56" s="50">
        <v>69</v>
      </c>
      <c r="E56" s="50">
        <v>70</v>
      </c>
      <c r="F56" s="50">
        <v>71</v>
      </c>
      <c r="G56" s="50">
        <v>72</v>
      </c>
      <c r="H56" s="50">
        <v>73</v>
      </c>
      <c r="I56" s="50">
        <v>74</v>
      </c>
      <c r="J56" s="50">
        <v>75</v>
      </c>
      <c r="K56" s="110"/>
      <c r="L56" s="111"/>
      <c r="M56" s="111"/>
      <c r="N56" s="111"/>
      <c r="O56" s="112"/>
      <c r="P56" s="117"/>
    </row>
    <row r="57" spans="1:16">
      <c r="A57" s="99"/>
      <c r="B57" s="7">
        <f t="shared" si="0"/>
        <v>1803</v>
      </c>
      <c r="C57" s="50">
        <v>76</v>
      </c>
      <c r="D57" s="50">
        <v>77</v>
      </c>
      <c r="E57" s="50">
        <v>78</v>
      </c>
      <c r="F57" s="50">
        <v>79</v>
      </c>
      <c r="G57" s="50">
        <v>80</v>
      </c>
      <c r="H57" s="50">
        <v>81</v>
      </c>
      <c r="I57" s="50">
        <v>82</v>
      </c>
      <c r="J57" s="50">
        <v>83</v>
      </c>
      <c r="K57" s="113"/>
      <c r="L57" s="114"/>
      <c r="M57" s="114"/>
      <c r="N57" s="114"/>
      <c r="O57" s="115"/>
      <c r="P57" s="118"/>
    </row>
    <row r="58" spans="1:16">
      <c r="A58" s="98">
        <v>19</v>
      </c>
      <c r="B58" s="7">
        <f t="shared" si="0"/>
        <v>1901</v>
      </c>
      <c r="C58" s="50">
        <v>2</v>
      </c>
      <c r="D58" s="50">
        <v>3</v>
      </c>
      <c r="E58" s="50">
        <v>4</v>
      </c>
      <c r="F58" s="50">
        <v>5</v>
      </c>
      <c r="G58" s="50">
        <v>6</v>
      </c>
      <c r="H58" s="50">
        <v>7</v>
      </c>
      <c r="I58" s="50">
        <v>8</v>
      </c>
      <c r="J58" s="50">
        <v>9</v>
      </c>
      <c r="K58" s="50">
        <v>1</v>
      </c>
      <c r="L58" s="50">
        <v>26</v>
      </c>
      <c r="M58" s="50">
        <v>27</v>
      </c>
      <c r="N58" s="50">
        <v>28</v>
      </c>
      <c r="O58" s="50">
        <v>29</v>
      </c>
      <c r="P58" s="116" t="s">
        <v>21</v>
      </c>
    </row>
    <row r="59" spans="1:16">
      <c r="A59" s="106"/>
      <c r="B59" s="7">
        <f t="shared" si="0"/>
        <v>1902</v>
      </c>
      <c r="C59" s="50">
        <v>10</v>
      </c>
      <c r="D59" s="50">
        <v>11</v>
      </c>
      <c r="E59" s="50">
        <v>12</v>
      </c>
      <c r="F59" s="50">
        <v>13</v>
      </c>
      <c r="G59" s="50">
        <v>14</v>
      </c>
      <c r="H59" s="50">
        <v>15</v>
      </c>
      <c r="I59" s="50">
        <v>16</v>
      </c>
      <c r="J59" s="66">
        <v>17</v>
      </c>
      <c r="K59" s="110"/>
      <c r="L59" s="111"/>
      <c r="M59" s="111"/>
      <c r="N59" s="111"/>
      <c r="O59" s="112"/>
      <c r="P59" s="117"/>
    </row>
    <row r="60" spans="1:16">
      <c r="A60" s="99"/>
      <c r="B60" s="7">
        <f t="shared" si="0"/>
        <v>1903</v>
      </c>
      <c r="C60" s="50">
        <v>18</v>
      </c>
      <c r="D60" s="50">
        <v>19</v>
      </c>
      <c r="E60" s="50">
        <v>20</v>
      </c>
      <c r="F60" s="50">
        <v>21</v>
      </c>
      <c r="G60" s="50">
        <v>22</v>
      </c>
      <c r="H60" s="50">
        <v>23</v>
      </c>
      <c r="I60" s="50">
        <v>24</v>
      </c>
      <c r="J60" s="50">
        <v>25</v>
      </c>
      <c r="K60" s="113"/>
      <c r="L60" s="114"/>
      <c r="M60" s="114"/>
      <c r="N60" s="114"/>
      <c r="O60" s="115"/>
      <c r="P60" s="117"/>
    </row>
    <row r="61" spans="1:16">
      <c r="A61" s="98">
        <v>20</v>
      </c>
      <c r="B61" s="7">
        <f t="shared" si="0"/>
        <v>2001</v>
      </c>
      <c r="C61" s="50">
        <v>31</v>
      </c>
      <c r="D61" s="50">
        <v>32</v>
      </c>
      <c r="E61" s="50">
        <v>33</v>
      </c>
      <c r="F61" s="50">
        <v>34</v>
      </c>
      <c r="G61" s="50">
        <v>35</v>
      </c>
      <c r="H61" s="66">
        <v>36</v>
      </c>
      <c r="I61" s="50">
        <v>37</v>
      </c>
      <c r="J61" s="66">
        <v>38</v>
      </c>
      <c r="K61" s="50">
        <v>30</v>
      </c>
      <c r="L61" s="50">
        <v>55</v>
      </c>
      <c r="M61" s="50">
        <v>56</v>
      </c>
      <c r="N61" s="67">
        <v>57</v>
      </c>
      <c r="O61" s="67">
        <v>58</v>
      </c>
      <c r="P61" s="117"/>
    </row>
    <row r="62" spans="1:16">
      <c r="A62" s="106"/>
      <c r="B62" s="7">
        <f t="shared" si="0"/>
        <v>2002</v>
      </c>
      <c r="C62" s="50">
        <v>39</v>
      </c>
      <c r="D62" s="50">
        <v>40</v>
      </c>
      <c r="E62" s="50">
        <v>41</v>
      </c>
      <c r="F62" s="50">
        <v>42</v>
      </c>
      <c r="G62" s="50">
        <v>43</v>
      </c>
      <c r="H62" s="50">
        <v>44</v>
      </c>
      <c r="I62" s="50">
        <v>45</v>
      </c>
      <c r="J62" s="50">
        <v>46</v>
      </c>
      <c r="K62" s="110"/>
      <c r="L62" s="111"/>
      <c r="M62" s="111"/>
      <c r="N62" s="111"/>
      <c r="O62" s="112"/>
      <c r="P62" s="117"/>
    </row>
    <row r="63" spans="1:16">
      <c r="A63" s="99"/>
      <c r="B63" s="7">
        <f t="shared" si="0"/>
        <v>2003</v>
      </c>
      <c r="C63" s="66">
        <v>47</v>
      </c>
      <c r="D63" s="50">
        <v>48</v>
      </c>
      <c r="E63" s="50">
        <v>49</v>
      </c>
      <c r="F63" s="50">
        <v>50</v>
      </c>
      <c r="G63" s="66">
        <v>51</v>
      </c>
      <c r="H63" s="50">
        <v>52</v>
      </c>
      <c r="I63" s="50">
        <v>53</v>
      </c>
      <c r="J63" s="50">
        <v>54</v>
      </c>
      <c r="K63" s="113"/>
      <c r="L63" s="114"/>
      <c r="M63" s="114"/>
      <c r="N63" s="114"/>
      <c r="O63" s="115"/>
      <c r="P63" s="117"/>
    </row>
    <row r="64" spans="1:16">
      <c r="A64" s="98">
        <v>21</v>
      </c>
      <c r="B64" s="7">
        <f t="shared" si="0"/>
        <v>2101</v>
      </c>
      <c r="C64" s="67">
        <v>60</v>
      </c>
      <c r="D64" s="67">
        <v>61</v>
      </c>
      <c r="E64" s="67">
        <v>62</v>
      </c>
      <c r="F64" s="67">
        <v>63</v>
      </c>
      <c r="G64" s="67">
        <v>64</v>
      </c>
      <c r="H64" s="67">
        <v>65</v>
      </c>
      <c r="I64" s="50">
        <v>66</v>
      </c>
      <c r="J64" s="67">
        <v>67</v>
      </c>
      <c r="K64" s="67">
        <v>59</v>
      </c>
      <c r="L64" s="50">
        <v>84</v>
      </c>
      <c r="M64" s="50">
        <v>85</v>
      </c>
      <c r="N64" s="50">
        <v>86</v>
      </c>
      <c r="O64" s="50">
        <v>87</v>
      </c>
      <c r="P64" s="117"/>
    </row>
    <row r="65" spans="1:16">
      <c r="A65" s="106"/>
      <c r="B65" s="7">
        <f t="shared" si="0"/>
        <v>2102</v>
      </c>
      <c r="C65" s="50">
        <v>68</v>
      </c>
      <c r="D65" s="50">
        <v>69</v>
      </c>
      <c r="E65" s="50">
        <v>70</v>
      </c>
      <c r="F65" s="50">
        <v>71</v>
      </c>
      <c r="G65" s="50">
        <v>72</v>
      </c>
      <c r="H65" s="66">
        <v>73</v>
      </c>
      <c r="I65" s="50">
        <v>74</v>
      </c>
      <c r="J65" s="50">
        <v>75</v>
      </c>
      <c r="K65" s="110"/>
      <c r="L65" s="111"/>
      <c r="M65" s="111"/>
      <c r="N65" s="111"/>
      <c r="O65" s="112"/>
      <c r="P65" s="117"/>
    </row>
    <row r="66" spans="1:16">
      <c r="A66" s="99"/>
      <c r="B66" s="7">
        <f t="shared" si="0"/>
        <v>2103</v>
      </c>
      <c r="C66" s="50">
        <v>76</v>
      </c>
      <c r="D66" s="50">
        <v>77</v>
      </c>
      <c r="E66" s="50">
        <v>78</v>
      </c>
      <c r="F66" s="50">
        <v>79</v>
      </c>
      <c r="G66" s="50">
        <v>80</v>
      </c>
      <c r="H66" s="50">
        <v>81</v>
      </c>
      <c r="I66" s="50">
        <v>82</v>
      </c>
      <c r="J66" s="50">
        <v>83</v>
      </c>
      <c r="K66" s="113"/>
      <c r="L66" s="114"/>
      <c r="M66" s="114"/>
      <c r="N66" s="114"/>
      <c r="O66" s="115"/>
      <c r="P66" s="117"/>
    </row>
    <row r="67" spans="1:16">
      <c r="A67" s="98">
        <v>22</v>
      </c>
      <c r="B67" s="7">
        <f t="shared" si="0"/>
        <v>2201</v>
      </c>
      <c r="C67" s="50">
        <v>89</v>
      </c>
      <c r="D67" s="50">
        <v>90</v>
      </c>
      <c r="E67" s="50">
        <v>91</v>
      </c>
      <c r="F67" s="50">
        <v>92</v>
      </c>
      <c r="G67" s="50">
        <v>93</v>
      </c>
      <c r="H67" s="50">
        <v>94</v>
      </c>
      <c r="I67" s="50">
        <v>95</v>
      </c>
      <c r="J67" s="50">
        <v>96</v>
      </c>
      <c r="K67" s="50">
        <v>88</v>
      </c>
      <c r="L67" s="50">
        <v>113</v>
      </c>
      <c r="M67" s="50">
        <v>114</v>
      </c>
      <c r="N67" s="50">
        <v>115</v>
      </c>
      <c r="O67" s="50">
        <v>116</v>
      </c>
      <c r="P67" s="117"/>
    </row>
    <row r="68" spans="1:16">
      <c r="A68" s="106"/>
      <c r="B68" s="7">
        <f t="shared" si="0"/>
        <v>2202</v>
      </c>
      <c r="C68" s="50">
        <v>97</v>
      </c>
      <c r="D68" s="50">
        <v>98</v>
      </c>
      <c r="E68" s="50">
        <v>99</v>
      </c>
      <c r="F68" s="50">
        <v>100</v>
      </c>
      <c r="G68" s="50">
        <v>101</v>
      </c>
      <c r="H68" s="50">
        <v>102</v>
      </c>
      <c r="I68" s="50">
        <v>103</v>
      </c>
      <c r="J68" s="50">
        <v>104</v>
      </c>
      <c r="K68" s="110"/>
      <c r="L68" s="111"/>
      <c r="M68" s="111"/>
      <c r="N68" s="111"/>
      <c r="O68" s="112"/>
      <c r="P68" s="117"/>
    </row>
    <row r="69" spans="1:16">
      <c r="A69" s="99"/>
      <c r="B69" s="7">
        <f t="shared" ref="B69" si="1">(INT((ROW()-4)/3)+1)*100 + MOD(ROW()-4,3)+1</f>
        <v>2203</v>
      </c>
      <c r="C69" s="50">
        <v>105</v>
      </c>
      <c r="D69" s="50">
        <v>106</v>
      </c>
      <c r="E69" s="50">
        <v>107</v>
      </c>
      <c r="F69" s="50">
        <v>108</v>
      </c>
      <c r="G69" s="50">
        <v>109</v>
      </c>
      <c r="H69" s="50">
        <v>110</v>
      </c>
      <c r="I69" s="50">
        <v>111</v>
      </c>
      <c r="J69" s="50">
        <v>112</v>
      </c>
      <c r="K69" s="113"/>
      <c r="L69" s="114"/>
      <c r="M69" s="114"/>
      <c r="N69" s="114"/>
      <c r="O69" s="115"/>
      <c r="P69" s="117"/>
    </row>
    <row r="70" spans="1:16">
      <c r="A70" s="64">
        <v>23</v>
      </c>
      <c r="B70" s="70" t="s">
        <v>25</v>
      </c>
      <c r="C70" s="50">
        <v>117</v>
      </c>
      <c r="D70" s="66">
        <v>118</v>
      </c>
      <c r="E70" s="66">
        <v>119</v>
      </c>
      <c r="F70" s="119"/>
      <c r="G70" s="120"/>
      <c r="H70" s="120"/>
      <c r="I70" s="120"/>
      <c r="J70" s="120"/>
      <c r="K70" s="120"/>
      <c r="L70" s="121"/>
      <c r="M70" s="50">
        <v>121</v>
      </c>
      <c r="N70" s="50">
        <v>122</v>
      </c>
      <c r="O70" s="50">
        <v>124</v>
      </c>
      <c r="P70" s="118"/>
    </row>
  </sheetData>
  <mergeCells count="70">
    <mergeCell ref="P49:P57"/>
    <mergeCell ref="F70:L70"/>
    <mergeCell ref="P58:P70"/>
    <mergeCell ref="A1:P1"/>
    <mergeCell ref="A2:A3"/>
    <mergeCell ref="B2:B3"/>
    <mergeCell ref="C2:J3"/>
    <mergeCell ref="K2:K3"/>
    <mergeCell ref="L2:L3"/>
    <mergeCell ref="M2:M3"/>
    <mergeCell ref="N2:N3"/>
    <mergeCell ref="O2:O3"/>
    <mergeCell ref="P2:P3"/>
    <mergeCell ref="A4:A6"/>
    <mergeCell ref="A13:A15"/>
    <mergeCell ref="K14:O15"/>
    <mergeCell ref="R4:R7"/>
    <mergeCell ref="W4:W7"/>
    <mergeCell ref="K5:O6"/>
    <mergeCell ref="A7:A9"/>
    <mergeCell ref="K8:O9"/>
    <mergeCell ref="W9:W12"/>
    <mergeCell ref="A10:A12"/>
    <mergeCell ref="K11:O12"/>
    <mergeCell ref="P4:P12"/>
    <mergeCell ref="W14:W17"/>
    <mergeCell ref="A16:A18"/>
    <mergeCell ref="K17:O18"/>
    <mergeCell ref="A19:A21"/>
    <mergeCell ref="W19:W22"/>
    <mergeCell ref="K20:O21"/>
    <mergeCell ref="A22:A24"/>
    <mergeCell ref="P22:P30"/>
    <mergeCell ref="P13:P21"/>
    <mergeCell ref="K23:O24"/>
    <mergeCell ref="W24:W27"/>
    <mergeCell ref="A25:A27"/>
    <mergeCell ref="K26:O27"/>
    <mergeCell ref="A28:A30"/>
    <mergeCell ref="K29:O30"/>
    <mergeCell ref="W29:W32"/>
    <mergeCell ref="A31:A33"/>
    <mergeCell ref="K32:O33"/>
    <mergeCell ref="P31:P39"/>
    <mergeCell ref="A34:A36"/>
    <mergeCell ref="W34:W37"/>
    <mergeCell ref="K35:O36"/>
    <mergeCell ref="A37:A39"/>
    <mergeCell ref="K38:O39"/>
    <mergeCell ref="A40:A42"/>
    <mergeCell ref="K41:O42"/>
    <mergeCell ref="P40:P48"/>
    <mergeCell ref="A43:A45"/>
    <mergeCell ref="K44:O45"/>
    <mergeCell ref="A46:A48"/>
    <mergeCell ref="K47:O48"/>
    <mergeCell ref="A49:A51"/>
    <mergeCell ref="K50:O51"/>
    <mergeCell ref="A52:A54"/>
    <mergeCell ref="K53:O54"/>
    <mergeCell ref="A55:A57"/>
    <mergeCell ref="K56:O57"/>
    <mergeCell ref="A67:A69"/>
    <mergeCell ref="K68:O69"/>
    <mergeCell ref="A58:A60"/>
    <mergeCell ref="K59:O60"/>
    <mergeCell ref="A61:A63"/>
    <mergeCell ref="K62:O63"/>
    <mergeCell ref="A64:A66"/>
    <mergeCell ref="K65:O6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74C3-8E24-44A9-AF81-F2220D841745}">
  <dimension ref="A1:V145"/>
  <sheetViews>
    <sheetView topLeftCell="F1" workbookViewId="0">
      <selection activeCell="N8" sqref="N8"/>
    </sheetView>
  </sheetViews>
  <sheetFormatPr defaultRowHeight="15"/>
  <cols>
    <col min="14" max="14" width="9.7109375" bestFit="1" customWidth="1"/>
    <col min="15" max="15" width="14.5703125" bestFit="1" customWidth="1"/>
    <col min="20" max="20" width="14.5703125" bestFit="1" customWidth="1"/>
  </cols>
  <sheetData>
    <row r="1" spans="1:22">
      <c r="A1" s="130">
        <v>207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2"/>
      <c r="N1" s="3"/>
      <c r="O1" s="4"/>
      <c r="P1" s="3"/>
      <c r="Q1" s="3"/>
      <c r="R1" s="3"/>
      <c r="S1" s="3"/>
      <c r="T1" s="3"/>
      <c r="U1" s="3"/>
    </row>
    <row r="2" spans="1:22">
      <c r="A2" s="80" t="s">
        <v>1</v>
      </c>
      <c r="B2" s="81" t="s">
        <v>2</v>
      </c>
      <c r="C2" s="81" t="s">
        <v>3</v>
      </c>
      <c r="D2" s="81"/>
      <c r="E2" s="81"/>
      <c r="F2" s="88" t="s">
        <v>4</v>
      </c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</row>
    <row r="3" spans="1:22">
      <c r="A3" s="80"/>
      <c r="B3" s="81"/>
      <c r="C3" s="81"/>
      <c r="D3" s="81"/>
      <c r="E3" s="81"/>
      <c r="F3" s="88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</row>
    <row r="4" spans="1:22">
      <c r="A4" s="80" t="s">
        <v>26</v>
      </c>
      <c r="B4" s="81" t="s">
        <v>27</v>
      </c>
      <c r="C4" s="31">
        <v>54</v>
      </c>
      <c r="D4" s="31">
        <v>71</v>
      </c>
      <c r="E4" s="31">
        <v>72</v>
      </c>
      <c r="F4" s="68">
        <v>64</v>
      </c>
      <c r="G4" s="68">
        <v>66</v>
      </c>
      <c r="H4" s="68">
        <v>70</v>
      </c>
      <c r="I4" s="31">
        <v>63</v>
      </c>
      <c r="J4" s="69">
        <v>62</v>
      </c>
      <c r="K4" s="62"/>
      <c r="L4" s="128" t="s">
        <v>9</v>
      </c>
      <c r="M4" s="2"/>
      <c r="N4" s="92">
        <v>46000</v>
      </c>
      <c r="O4" s="12" t="s">
        <v>10</v>
      </c>
      <c r="P4" s="13">
        <f>SUM(P5:P7)</f>
        <v>561</v>
      </c>
      <c r="Q4" s="73">
        <v>1</v>
      </c>
      <c r="S4" s="92" t="s">
        <v>9</v>
      </c>
      <c r="T4" s="12" t="s">
        <v>10</v>
      </c>
      <c r="U4" s="13">
        <f>SUM(U5:U7)</f>
        <v>69</v>
      </c>
      <c r="V4" s="73">
        <v>1</v>
      </c>
    </row>
    <row r="5" spans="1:22">
      <c r="A5" s="80"/>
      <c r="B5" s="81"/>
      <c r="C5" s="31">
        <v>73</v>
      </c>
      <c r="D5" s="31">
        <v>74</v>
      </c>
      <c r="E5" s="31">
        <v>75</v>
      </c>
      <c r="F5" s="68">
        <v>77</v>
      </c>
      <c r="G5" s="68">
        <v>78</v>
      </c>
      <c r="H5" s="68">
        <v>79</v>
      </c>
      <c r="I5" s="81"/>
      <c r="J5" s="81"/>
      <c r="K5" s="81"/>
      <c r="L5" s="128"/>
      <c r="M5" s="2"/>
      <c r="N5" s="93"/>
      <c r="O5" s="14" t="s">
        <v>11</v>
      </c>
      <c r="P5" s="13" cm="1">
        <f t="array" ref="P5">CountByColor(C4:K145, O5)</f>
        <v>15</v>
      </c>
      <c r="Q5" s="74">
        <v>2.6700000000000002E-2</v>
      </c>
      <c r="S5" s="93"/>
      <c r="T5" s="14" t="s">
        <v>11</v>
      </c>
      <c r="U5" s="13" cm="1">
        <f t="array" ref="U5">CountByColor(C4:K19, T5)</f>
        <v>2</v>
      </c>
      <c r="V5" s="74">
        <v>2.9000000000000001E-2</v>
      </c>
    </row>
    <row r="6" spans="1:22">
      <c r="A6" s="80"/>
      <c r="B6" s="81"/>
      <c r="C6" s="31">
        <v>80</v>
      </c>
      <c r="D6" s="31">
        <v>81</v>
      </c>
      <c r="E6" s="31">
        <v>82</v>
      </c>
      <c r="F6" s="68">
        <v>83</v>
      </c>
      <c r="G6" s="68">
        <v>85</v>
      </c>
      <c r="H6" s="68">
        <v>86</v>
      </c>
      <c r="I6" s="81"/>
      <c r="J6" s="81"/>
      <c r="K6" s="81"/>
      <c r="L6" s="128"/>
      <c r="M6" s="2"/>
      <c r="N6" s="93"/>
      <c r="O6" s="15" t="s">
        <v>12</v>
      </c>
      <c r="P6" s="13" cm="1">
        <f t="array" ref="P6">CountByColor(C4:K145, O6)</f>
        <v>5</v>
      </c>
      <c r="Q6" s="74">
        <v>8.8999999999999999E-3</v>
      </c>
      <c r="S6" s="93"/>
      <c r="T6" s="15" t="s">
        <v>12</v>
      </c>
      <c r="U6" s="13" cm="1">
        <f t="array" ref="U6">CountByColor(C4:K19, T6)</f>
        <v>2</v>
      </c>
      <c r="V6" s="74">
        <v>2.9000000000000001E-2</v>
      </c>
    </row>
    <row r="7" spans="1:22">
      <c r="A7" s="80"/>
      <c r="B7" s="81"/>
      <c r="C7" s="31">
        <v>88</v>
      </c>
      <c r="D7" s="32">
        <v>89</v>
      </c>
      <c r="E7" s="81"/>
      <c r="F7" s="81"/>
      <c r="G7" s="81"/>
      <c r="H7" s="81"/>
      <c r="I7" s="81"/>
      <c r="J7" s="81"/>
      <c r="K7" s="81"/>
      <c r="L7" s="128"/>
      <c r="M7" s="2"/>
      <c r="N7" s="94"/>
      <c r="O7" s="16" t="s">
        <v>13</v>
      </c>
      <c r="P7" s="13" cm="1">
        <f t="array" ref="P7">CountByColor(C4:K145, O7)</f>
        <v>541</v>
      </c>
      <c r="Q7" s="74">
        <v>0.96440000000000003</v>
      </c>
      <c r="S7" s="94"/>
      <c r="T7" s="16" t="s">
        <v>13</v>
      </c>
      <c r="U7" s="13" cm="1">
        <f t="array" ref="U7">CountByColor(C4:K19, T7)</f>
        <v>65</v>
      </c>
      <c r="V7" s="74">
        <v>0.94199999999999995</v>
      </c>
    </row>
    <row r="8" spans="1:22">
      <c r="A8" s="80">
        <v>1</v>
      </c>
      <c r="B8" s="8">
        <f>(INT((ROW()-8)/6)+1)*100 + MOD(ROW()-8,6)+1</f>
        <v>101</v>
      </c>
      <c r="C8" s="50">
        <v>2</v>
      </c>
      <c r="D8" s="50">
        <v>3</v>
      </c>
      <c r="E8" s="50">
        <v>4</v>
      </c>
      <c r="F8" s="50">
        <v>1</v>
      </c>
      <c r="G8" s="66">
        <v>20</v>
      </c>
      <c r="H8" s="67">
        <v>21</v>
      </c>
      <c r="I8" s="50">
        <v>22</v>
      </c>
      <c r="J8" s="66">
        <v>23</v>
      </c>
      <c r="K8" s="50">
        <v>24</v>
      </c>
      <c r="L8" s="128"/>
      <c r="N8" s="21"/>
      <c r="T8" s="1"/>
      <c r="U8" s="1"/>
    </row>
    <row r="9" spans="1:22">
      <c r="A9" s="80"/>
      <c r="B9" s="8">
        <f t="shared" ref="B9:B72" si="0">(INT((ROW()-8)/6)+1)*100 + MOD(ROW()-8,6)+1</f>
        <v>102</v>
      </c>
      <c r="C9" s="50">
        <v>5</v>
      </c>
      <c r="D9" s="50">
        <v>6</v>
      </c>
      <c r="E9" s="50">
        <v>7</v>
      </c>
      <c r="F9" s="129"/>
      <c r="G9" s="129"/>
      <c r="H9" s="129"/>
      <c r="I9" s="129"/>
      <c r="J9" s="129"/>
      <c r="K9" s="129"/>
      <c r="L9" s="128"/>
      <c r="S9" s="92" t="s">
        <v>14</v>
      </c>
      <c r="T9" s="12" t="s">
        <v>10</v>
      </c>
      <c r="U9" s="13">
        <f>SUM(U10:U12)</f>
        <v>72</v>
      </c>
      <c r="V9" s="73">
        <v>1</v>
      </c>
    </row>
    <row r="10" spans="1:22">
      <c r="A10" s="80"/>
      <c r="B10" s="8">
        <f t="shared" si="0"/>
        <v>103</v>
      </c>
      <c r="C10" s="50">
        <v>8</v>
      </c>
      <c r="D10" s="50">
        <v>9</v>
      </c>
      <c r="E10" s="50">
        <v>10</v>
      </c>
      <c r="F10" s="129"/>
      <c r="G10" s="129"/>
      <c r="H10" s="129"/>
      <c r="I10" s="129"/>
      <c r="J10" s="129"/>
      <c r="K10" s="129"/>
      <c r="L10" s="128"/>
      <c r="S10" s="93"/>
      <c r="T10" s="14" t="s">
        <v>11</v>
      </c>
      <c r="U10" s="13" cm="1">
        <f t="array" ref="U10">CountByColor(C20:K37, T10)</f>
        <v>5</v>
      </c>
      <c r="V10" s="74">
        <v>6.9400000000000003E-2</v>
      </c>
    </row>
    <row r="11" spans="1:22">
      <c r="A11" s="80"/>
      <c r="B11" s="8">
        <f t="shared" si="0"/>
        <v>104</v>
      </c>
      <c r="C11" s="50">
        <v>11</v>
      </c>
      <c r="D11" s="50">
        <v>12</v>
      </c>
      <c r="E11" s="50">
        <v>13</v>
      </c>
      <c r="F11" s="129"/>
      <c r="G11" s="129"/>
      <c r="H11" s="129"/>
      <c r="I11" s="129"/>
      <c r="J11" s="129"/>
      <c r="K11" s="129"/>
      <c r="L11" s="128"/>
      <c r="S11" s="93"/>
      <c r="T11" s="15" t="s">
        <v>12</v>
      </c>
      <c r="U11" s="13" cm="1">
        <f t="array" ref="U11">CountByColor(C20:K37, T11)</f>
        <v>0</v>
      </c>
      <c r="V11" s="73">
        <v>0</v>
      </c>
    </row>
    <row r="12" spans="1:22">
      <c r="A12" s="80"/>
      <c r="B12" s="8">
        <f t="shared" si="0"/>
        <v>105</v>
      </c>
      <c r="C12" s="50">
        <v>14</v>
      </c>
      <c r="D12" s="50">
        <v>15</v>
      </c>
      <c r="E12" s="50">
        <v>16</v>
      </c>
      <c r="F12" s="129"/>
      <c r="G12" s="129"/>
      <c r="H12" s="129"/>
      <c r="I12" s="129"/>
      <c r="J12" s="129"/>
      <c r="K12" s="129"/>
      <c r="L12" s="128"/>
      <c r="S12" s="94"/>
      <c r="T12" s="16" t="s">
        <v>13</v>
      </c>
      <c r="U12" s="13" cm="1">
        <f t="array" ref="U12">CountByColor(C20:K37, T12)</f>
        <v>67</v>
      </c>
      <c r="V12" s="74">
        <v>0.93059999999999998</v>
      </c>
    </row>
    <row r="13" spans="1:22">
      <c r="A13" s="80"/>
      <c r="B13" s="8">
        <f t="shared" si="0"/>
        <v>106</v>
      </c>
      <c r="C13" s="50">
        <v>17</v>
      </c>
      <c r="D13" s="50">
        <v>18</v>
      </c>
      <c r="E13" s="50">
        <v>19</v>
      </c>
      <c r="F13" s="129"/>
      <c r="G13" s="129"/>
      <c r="H13" s="129"/>
      <c r="I13" s="129"/>
      <c r="J13" s="129"/>
      <c r="K13" s="129"/>
      <c r="L13" s="128"/>
      <c r="S13" s="1"/>
    </row>
    <row r="14" spans="1:22">
      <c r="A14" s="80">
        <v>2</v>
      </c>
      <c r="B14" s="8">
        <f t="shared" si="0"/>
        <v>201</v>
      </c>
      <c r="C14" s="50">
        <v>25</v>
      </c>
      <c r="D14" s="50">
        <v>26</v>
      </c>
      <c r="E14" s="50">
        <v>27</v>
      </c>
      <c r="F14" s="50">
        <v>43</v>
      </c>
      <c r="G14" s="50">
        <v>44</v>
      </c>
      <c r="H14" s="7"/>
      <c r="I14" s="50">
        <v>45</v>
      </c>
      <c r="J14" s="50">
        <v>46</v>
      </c>
      <c r="K14" s="50">
        <v>47</v>
      </c>
      <c r="L14" s="128"/>
      <c r="S14" s="92" t="s">
        <v>15</v>
      </c>
      <c r="T14" s="12" t="s">
        <v>10</v>
      </c>
      <c r="U14" s="13">
        <f>SUM(U15:U17)</f>
        <v>72</v>
      </c>
      <c r="V14" s="73">
        <v>1</v>
      </c>
    </row>
    <row r="15" spans="1:22">
      <c r="A15" s="80"/>
      <c r="B15" s="8">
        <f t="shared" si="0"/>
        <v>202</v>
      </c>
      <c r="C15" s="50">
        <v>28</v>
      </c>
      <c r="D15" s="50">
        <v>29</v>
      </c>
      <c r="E15" s="50">
        <v>30</v>
      </c>
      <c r="F15" s="129"/>
      <c r="G15" s="129"/>
      <c r="H15" s="129"/>
      <c r="I15" s="129"/>
      <c r="J15" s="129"/>
      <c r="K15" s="129"/>
      <c r="L15" s="128"/>
      <c r="S15" s="93"/>
      <c r="T15" s="14" t="s">
        <v>11</v>
      </c>
      <c r="U15" s="13" cm="1">
        <f t="array" ref="U15">CountByColor(C38:K55, T15)</f>
        <v>5</v>
      </c>
      <c r="V15" s="74">
        <v>6.9400000000000003E-2</v>
      </c>
    </row>
    <row r="16" spans="1:22">
      <c r="A16" s="80"/>
      <c r="B16" s="8">
        <f t="shared" si="0"/>
        <v>203</v>
      </c>
      <c r="C16" s="50">
        <v>31</v>
      </c>
      <c r="D16" s="50">
        <v>32</v>
      </c>
      <c r="E16" s="50">
        <v>33</v>
      </c>
      <c r="F16" s="129"/>
      <c r="G16" s="129"/>
      <c r="H16" s="129"/>
      <c r="I16" s="129"/>
      <c r="J16" s="129"/>
      <c r="K16" s="129"/>
      <c r="L16" s="128"/>
      <c r="S16" s="93"/>
      <c r="T16" s="15" t="s">
        <v>12</v>
      </c>
      <c r="U16" s="13" cm="1">
        <f t="array" ref="U16">CountByColor(C38:K55, T16)</f>
        <v>2</v>
      </c>
      <c r="V16" s="74">
        <v>2.7799999999999998E-2</v>
      </c>
    </row>
    <row r="17" spans="1:22">
      <c r="A17" s="80"/>
      <c r="B17" s="8">
        <f t="shared" si="0"/>
        <v>204</v>
      </c>
      <c r="C17" s="50">
        <v>34</v>
      </c>
      <c r="D17" s="50">
        <v>35</v>
      </c>
      <c r="E17" s="50">
        <v>36</v>
      </c>
      <c r="F17" s="129"/>
      <c r="G17" s="129"/>
      <c r="H17" s="129"/>
      <c r="I17" s="129"/>
      <c r="J17" s="129"/>
      <c r="K17" s="129"/>
      <c r="L17" s="128"/>
      <c r="S17" s="94"/>
      <c r="T17" s="16" t="s">
        <v>13</v>
      </c>
      <c r="U17" s="13" cm="1">
        <f t="array" ref="U17">CountByColor(C38:K55, T17)</f>
        <v>65</v>
      </c>
      <c r="V17" s="74">
        <v>0.90280000000000005</v>
      </c>
    </row>
    <row r="18" spans="1:22">
      <c r="A18" s="80"/>
      <c r="B18" s="8">
        <f t="shared" si="0"/>
        <v>205</v>
      </c>
      <c r="C18" s="50">
        <v>37</v>
      </c>
      <c r="D18" s="50">
        <v>38</v>
      </c>
      <c r="E18" s="50">
        <v>39</v>
      </c>
      <c r="F18" s="129"/>
      <c r="G18" s="129"/>
      <c r="H18" s="129"/>
      <c r="I18" s="129"/>
      <c r="J18" s="129"/>
      <c r="K18" s="129"/>
      <c r="L18" s="128"/>
      <c r="S18" s="1"/>
    </row>
    <row r="19" spans="1:22">
      <c r="A19" s="80"/>
      <c r="B19" s="8">
        <f t="shared" si="0"/>
        <v>206</v>
      </c>
      <c r="C19" s="50">
        <v>40</v>
      </c>
      <c r="D19" s="50">
        <v>41</v>
      </c>
      <c r="E19" s="50">
        <v>42</v>
      </c>
      <c r="F19" s="129"/>
      <c r="G19" s="129"/>
      <c r="H19" s="129"/>
      <c r="I19" s="129"/>
      <c r="J19" s="129"/>
      <c r="K19" s="129"/>
      <c r="L19" s="128"/>
      <c r="S19" s="92" t="s">
        <v>16</v>
      </c>
      <c r="T19" s="12" t="s">
        <v>10</v>
      </c>
      <c r="U19" s="13">
        <f>SUM(U20:U22)</f>
        <v>72</v>
      </c>
      <c r="V19" s="73">
        <v>1</v>
      </c>
    </row>
    <row r="20" spans="1:22">
      <c r="A20" s="80">
        <v>3</v>
      </c>
      <c r="B20" s="8">
        <f t="shared" si="0"/>
        <v>301</v>
      </c>
      <c r="C20" s="50">
        <v>2</v>
      </c>
      <c r="D20" s="50">
        <v>3</v>
      </c>
      <c r="E20" s="50">
        <v>4</v>
      </c>
      <c r="F20" s="50">
        <v>1</v>
      </c>
      <c r="G20" s="50">
        <v>20</v>
      </c>
      <c r="H20" s="66">
        <v>21</v>
      </c>
      <c r="I20" s="50">
        <v>22</v>
      </c>
      <c r="J20" s="50">
        <v>23</v>
      </c>
      <c r="K20" s="50">
        <v>24</v>
      </c>
      <c r="L20" s="128" t="s">
        <v>14</v>
      </c>
      <c r="S20" s="93"/>
      <c r="T20" s="14" t="s">
        <v>11</v>
      </c>
      <c r="U20" s="13" cm="1">
        <f t="array" ref="U20">CountByColor(C56:K73, T20)</f>
        <v>1</v>
      </c>
      <c r="V20" s="74">
        <v>1.3899999999999999E-2</v>
      </c>
    </row>
    <row r="21" spans="1:22">
      <c r="A21" s="80"/>
      <c r="B21" s="8">
        <f t="shared" si="0"/>
        <v>302</v>
      </c>
      <c r="C21" s="66">
        <v>5</v>
      </c>
      <c r="D21" s="50">
        <v>6</v>
      </c>
      <c r="E21" s="50">
        <v>7</v>
      </c>
      <c r="F21" s="129"/>
      <c r="G21" s="129"/>
      <c r="H21" s="129"/>
      <c r="I21" s="129"/>
      <c r="J21" s="129"/>
      <c r="K21" s="129"/>
      <c r="L21" s="128"/>
      <c r="R21" s="1"/>
      <c r="S21" s="93"/>
      <c r="T21" s="15" t="s">
        <v>12</v>
      </c>
      <c r="U21" s="13" cm="1">
        <f t="array" ref="U21">CountByColor(C56:K73, T21)</f>
        <v>0</v>
      </c>
      <c r="V21" s="73">
        <v>0</v>
      </c>
    </row>
    <row r="22" spans="1:22">
      <c r="A22" s="80"/>
      <c r="B22" s="8">
        <f t="shared" si="0"/>
        <v>303</v>
      </c>
      <c r="C22" s="50">
        <v>8</v>
      </c>
      <c r="D22" s="50">
        <v>9</v>
      </c>
      <c r="E22" s="50">
        <v>10</v>
      </c>
      <c r="F22" s="129"/>
      <c r="G22" s="129"/>
      <c r="H22" s="129"/>
      <c r="I22" s="129"/>
      <c r="J22" s="129"/>
      <c r="K22" s="129"/>
      <c r="L22" s="128"/>
      <c r="S22" s="94"/>
      <c r="T22" s="16" t="s">
        <v>13</v>
      </c>
      <c r="U22" s="13" cm="1">
        <f t="array" ref="U22">CountByColor(C56:K73, T22)</f>
        <v>71</v>
      </c>
      <c r="V22" s="74">
        <v>0.98609999999999998</v>
      </c>
    </row>
    <row r="23" spans="1:22">
      <c r="A23" s="80"/>
      <c r="B23" s="8">
        <f t="shared" si="0"/>
        <v>304</v>
      </c>
      <c r="C23" s="50">
        <v>11</v>
      </c>
      <c r="D23" s="50">
        <v>12</v>
      </c>
      <c r="E23" s="50">
        <v>13</v>
      </c>
      <c r="F23" s="129"/>
      <c r="G23" s="129"/>
      <c r="H23" s="129"/>
      <c r="I23" s="129"/>
      <c r="J23" s="129"/>
      <c r="K23" s="129"/>
      <c r="L23" s="128"/>
      <c r="S23" s="1"/>
    </row>
    <row r="24" spans="1:22">
      <c r="A24" s="80"/>
      <c r="B24" s="8">
        <f t="shared" si="0"/>
        <v>305</v>
      </c>
      <c r="C24" s="50">
        <v>14</v>
      </c>
      <c r="D24" s="66">
        <v>15</v>
      </c>
      <c r="E24" s="50">
        <v>16</v>
      </c>
      <c r="F24" s="129"/>
      <c r="G24" s="129"/>
      <c r="H24" s="129"/>
      <c r="I24" s="129"/>
      <c r="J24" s="129"/>
      <c r="K24" s="129"/>
      <c r="L24" s="128"/>
      <c r="S24" s="92" t="s">
        <v>19</v>
      </c>
      <c r="T24" s="12" t="s">
        <v>10</v>
      </c>
      <c r="U24" s="13">
        <f>SUM(U25:U27)</f>
        <v>69</v>
      </c>
      <c r="V24" s="73">
        <v>1</v>
      </c>
    </row>
    <row r="25" spans="1:22">
      <c r="A25" s="80"/>
      <c r="B25" s="8">
        <f t="shared" si="0"/>
        <v>306</v>
      </c>
      <c r="C25" s="50">
        <v>17</v>
      </c>
      <c r="D25" s="50">
        <v>18</v>
      </c>
      <c r="E25" s="50">
        <v>19</v>
      </c>
      <c r="F25" s="129"/>
      <c r="G25" s="129"/>
      <c r="H25" s="129"/>
      <c r="I25" s="129"/>
      <c r="J25" s="129"/>
      <c r="K25" s="129"/>
      <c r="L25" s="128"/>
      <c r="S25" s="93"/>
      <c r="T25" s="14" t="s">
        <v>11</v>
      </c>
      <c r="U25" s="13" cm="1">
        <f t="array" ref="U25">CountByColor(C74:K91, T25)</f>
        <v>1</v>
      </c>
      <c r="V25" s="74">
        <v>1.4500000000000001E-2</v>
      </c>
    </row>
    <row r="26" spans="1:22">
      <c r="A26" s="80">
        <v>4</v>
      </c>
      <c r="B26" s="8">
        <f t="shared" si="0"/>
        <v>401</v>
      </c>
      <c r="C26" s="50">
        <v>25</v>
      </c>
      <c r="D26" s="50">
        <v>26</v>
      </c>
      <c r="E26" s="50">
        <v>27</v>
      </c>
      <c r="F26" s="50">
        <v>43</v>
      </c>
      <c r="G26" s="50">
        <v>44</v>
      </c>
      <c r="H26" s="66">
        <v>45</v>
      </c>
      <c r="I26" s="50">
        <v>46</v>
      </c>
      <c r="J26" s="66">
        <v>47</v>
      </c>
      <c r="K26" s="50">
        <v>48</v>
      </c>
      <c r="L26" s="128"/>
      <c r="S26" s="93"/>
      <c r="T26" s="15" t="s">
        <v>12</v>
      </c>
      <c r="U26" s="13" cm="1">
        <f t="array" ref="U26">CountByColor(C74:K91, T26)</f>
        <v>0</v>
      </c>
      <c r="V26" s="73">
        <v>0</v>
      </c>
    </row>
    <row r="27" spans="1:22">
      <c r="A27" s="80"/>
      <c r="B27" s="8">
        <f t="shared" si="0"/>
        <v>402</v>
      </c>
      <c r="C27" s="50">
        <v>28</v>
      </c>
      <c r="D27" s="50">
        <v>29</v>
      </c>
      <c r="E27" s="50">
        <v>30</v>
      </c>
      <c r="F27" s="129"/>
      <c r="G27" s="129"/>
      <c r="H27" s="129"/>
      <c r="I27" s="129"/>
      <c r="J27" s="129"/>
      <c r="K27" s="129"/>
      <c r="L27" s="128"/>
      <c r="S27" s="94"/>
      <c r="T27" s="16" t="s">
        <v>13</v>
      </c>
      <c r="U27" s="13" cm="1">
        <f t="array" ref="U27">CountByColor(C74:K91, T27)</f>
        <v>68</v>
      </c>
      <c r="V27" s="74">
        <v>0.98550000000000004</v>
      </c>
    </row>
    <row r="28" spans="1:22">
      <c r="A28" s="80"/>
      <c r="B28" s="8">
        <f t="shared" si="0"/>
        <v>403</v>
      </c>
      <c r="C28" s="50">
        <v>31</v>
      </c>
      <c r="D28" s="50">
        <v>32</v>
      </c>
      <c r="E28" s="50">
        <v>33</v>
      </c>
      <c r="F28" s="129"/>
      <c r="G28" s="129"/>
      <c r="H28" s="129"/>
      <c r="I28" s="129"/>
      <c r="J28" s="129"/>
      <c r="K28" s="129"/>
      <c r="L28" s="128"/>
      <c r="S28" s="1"/>
    </row>
    <row r="29" spans="1:22">
      <c r="A29" s="80"/>
      <c r="B29" s="8">
        <f t="shared" si="0"/>
        <v>404</v>
      </c>
      <c r="C29" s="50">
        <v>34</v>
      </c>
      <c r="D29" s="50">
        <v>35</v>
      </c>
      <c r="E29" s="50">
        <v>36</v>
      </c>
      <c r="F29" s="129"/>
      <c r="G29" s="129"/>
      <c r="H29" s="129"/>
      <c r="I29" s="129"/>
      <c r="J29" s="129"/>
      <c r="K29" s="129"/>
      <c r="L29" s="128"/>
      <c r="S29" s="92" t="s">
        <v>20</v>
      </c>
      <c r="T29" s="12" t="s">
        <v>10</v>
      </c>
      <c r="U29" s="13">
        <f>SUM(U30:U32)</f>
        <v>69</v>
      </c>
      <c r="V29" s="73">
        <v>1</v>
      </c>
    </row>
    <row r="30" spans="1:22">
      <c r="A30" s="80"/>
      <c r="B30" s="8">
        <f t="shared" si="0"/>
        <v>405</v>
      </c>
      <c r="C30" s="50">
        <v>37</v>
      </c>
      <c r="D30" s="50">
        <v>38</v>
      </c>
      <c r="E30" s="50">
        <v>39</v>
      </c>
      <c r="F30" s="129"/>
      <c r="G30" s="129"/>
      <c r="H30" s="129"/>
      <c r="I30" s="129"/>
      <c r="J30" s="129"/>
      <c r="K30" s="129"/>
      <c r="L30" s="128"/>
      <c r="S30" s="93"/>
      <c r="T30" s="14" t="s">
        <v>11</v>
      </c>
      <c r="U30" s="13" cm="1">
        <f t="array" ref="U30">CountByColor(C92:K109, T30)</f>
        <v>0</v>
      </c>
      <c r="V30" s="73">
        <v>0</v>
      </c>
    </row>
    <row r="31" spans="1:22">
      <c r="A31" s="80"/>
      <c r="B31" s="8">
        <f t="shared" si="0"/>
        <v>406</v>
      </c>
      <c r="C31" s="50">
        <v>40</v>
      </c>
      <c r="D31" s="50">
        <v>41</v>
      </c>
      <c r="E31" s="50">
        <v>42</v>
      </c>
      <c r="F31" s="129"/>
      <c r="G31" s="129"/>
      <c r="H31" s="129"/>
      <c r="I31" s="129"/>
      <c r="J31" s="129"/>
      <c r="K31" s="129"/>
      <c r="L31" s="128"/>
      <c r="O31" s="6"/>
      <c r="S31" s="93"/>
      <c r="T31" s="15" t="s">
        <v>12</v>
      </c>
      <c r="U31" s="13" cm="1">
        <f t="array" ref="U31">CountByColor(C92:K109, T31)</f>
        <v>0</v>
      </c>
      <c r="V31" s="73">
        <v>0</v>
      </c>
    </row>
    <row r="32" spans="1:22">
      <c r="A32" s="80">
        <v>5</v>
      </c>
      <c r="B32" s="8">
        <f t="shared" si="0"/>
        <v>501</v>
      </c>
      <c r="C32" s="50">
        <v>50</v>
      </c>
      <c r="D32" s="50">
        <v>51</v>
      </c>
      <c r="E32" s="50">
        <v>52</v>
      </c>
      <c r="F32" s="50">
        <v>49</v>
      </c>
      <c r="G32" s="50">
        <v>68</v>
      </c>
      <c r="H32" s="50">
        <v>69</v>
      </c>
      <c r="I32" s="50">
        <v>70</v>
      </c>
      <c r="J32" s="50">
        <v>71</v>
      </c>
      <c r="K32" s="50">
        <v>72</v>
      </c>
      <c r="L32" s="128"/>
      <c r="O32" s="6"/>
      <c r="S32" s="94"/>
      <c r="T32" s="16" t="s">
        <v>13</v>
      </c>
      <c r="U32" s="13" cm="1">
        <f t="array" ref="U32">CountByColor(C92:K109, T32)</f>
        <v>69</v>
      </c>
      <c r="V32" s="73">
        <v>1</v>
      </c>
    </row>
    <row r="33" spans="1:22">
      <c r="A33" s="80"/>
      <c r="B33" s="8">
        <f t="shared" si="0"/>
        <v>502</v>
      </c>
      <c r="C33" s="50">
        <v>53</v>
      </c>
      <c r="D33" s="50">
        <v>54</v>
      </c>
      <c r="E33" s="50">
        <v>55</v>
      </c>
      <c r="F33" s="129"/>
      <c r="G33" s="129"/>
      <c r="H33" s="129"/>
      <c r="I33" s="129"/>
      <c r="J33" s="129"/>
      <c r="K33" s="129"/>
      <c r="L33" s="128"/>
      <c r="O33" s="6"/>
      <c r="S33" s="1"/>
    </row>
    <row r="34" spans="1:22">
      <c r="A34" s="80"/>
      <c r="B34" s="8">
        <f t="shared" si="0"/>
        <v>503</v>
      </c>
      <c r="C34" s="50">
        <v>56</v>
      </c>
      <c r="D34" s="50">
        <v>57</v>
      </c>
      <c r="E34" s="50">
        <v>58</v>
      </c>
      <c r="F34" s="129"/>
      <c r="G34" s="129"/>
      <c r="H34" s="129"/>
      <c r="I34" s="129"/>
      <c r="J34" s="129"/>
      <c r="K34" s="129"/>
      <c r="L34" s="128"/>
      <c r="O34" s="6"/>
      <c r="S34" s="92" t="s">
        <v>21</v>
      </c>
      <c r="T34" s="12" t="s">
        <v>10</v>
      </c>
      <c r="U34" s="13">
        <f>SUM(U35:U37)</f>
        <v>69</v>
      </c>
      <c r="V34" s="73">
        <v>1</v>
      </c>
    </row>
    <row r="35" spans="1:22">
      <c r="A35" s="80"/>
      <c r="B35" s="8">
        <f t="shared" si="0"/>
        <v>504</v>
      </c>
      <c r="C35" s="50">
        <v>59</v>
      </c>
      <c r="D35" s="50">
        <v>60</v>
      </c>
      <c r="E35" s="50">
        <v>61</v>
      </c>
      <c r="F35" s="129"/>
      <c r="G35" s="129"/>
      <c r="H35" s="129"/>
      <c r="I35" s="129"/>
      <c r="J35" s="129"/>
      <c r="K35" s="129"/>
      <c r="L35" s="128"/>
      <c r="O35" s="6"/>
      <c r="S35" s="93"/>
      <c r="T35" s="14" t="s">
        <v>11</v>
      </c>
      <c r="U35" s="13" cm="1">
        <f t="array" ref="U35">CountByColor(C110:K127, T35)</f>
        <v>0</v>
      </c>
      <c r="V35" s="73">
        <v>0</v>
      </c>
    </row>
    <row r="36" spans="1:22">
      <c r="A36" s="80"/>
      <c r="B36" s="8">
        <f t="shared" si="0"/>
        <v>505</v>
      </c>
      <c r="C36" s="50">
        <v>62</v>
      </c>
      <c r="D36" s="50">
        <v>63</v>
      </c>
      <c r="E36" s="50">
        <v>64</v>
      </c>
      <c r="F36" s="129"/>
      <c r="G36" s="129"/>
      <c r="H36" s="129"/>
      <c r="I36" s="129"/>
      <c r="J36" s="129"/>
      <c r="K36" s="129"/>
      <c r="L36" s="128"/>
      <c r="N36" s="1"/>
      <c r="O36" s="6"/>
      <c r="S36" s="93"/>
      <c r="T36" s="15" t="s">
        <v>12</v>
      </c>
      <c r="U36" s="13" cm="1">
        <f t="array" ref="U36">CountByColor(C110:K127, T36)</f>
        <v>0</v>
      </c>
      <c r="V36" s="73">
        <v>0</v>
      </c>
    </row>
    <row r="37" spans="1:22">
      <c r="A37" s="80"/>
      <c r="B37" s="8">
        <f t="shared" si="0"/>
        <v>506</v>
      </c>
      <c r="C37" s="50">
        <v>65</v>
      </c>
      <c r="D37" s="50">
        <v>66</v>
      </c>
      <c r="E37" s="50">
        <v>67</v>
      </c>
      <c r="F37" s="129"/>
      <c r="G37" s="129"/>
      <c r="H37" s="129"/>
      <c r="I37" s="129"/>
      <c r="J37" s="129"/>
      <c r="K37" s="129"/>
      <c r="L37" s="128"/>
      <c r="N37" s="1"/>
      <c r="O37" s="6"/>
      <c r="S37" s="94"/>
      <c r="T37" s="16" t="s">
        <v>13</v>
      </c>
      <c r="U37" s="13" cm="1">
        <f t="array" ref="U37">CountByColor(C110:K127, T37)</f>
        <v>69</v>
      </c>
      <c r="V37" s="73">
        <v>1</v>
      </c>
    </row>
    <row r="38" spans="1:22">
      <c r="A38" s="80">
        <v>6</v>
      </c>
      <c r="B38" s="8">
        <f t="shared" si="0"/>
        <v>601</v>
      </c>
      <c r="C38" s="66">
        <v>2</v>
      </c>
      <c r="D38" s="50">
        <v>3</v>
      </c>
      <c r="E38" s="50">
        <v>4</v>
      </c>
      <c r="F38" s="50">
        <v>1</v>
      </c>
      <c r="G38" s="50">
        <v>20</v>
      </c>
      <c r="H38" s="50">
        <v>21</v>
      </c>
      <c r="I38" s="50">
        <v>22</v>
      </c>
      <c r="J38" s="50">
        <v>23</v>
      </c>
      <c r="K38" s="50">
        <v>24</v>
      </c>
      <c r="L38" s="128" t="s">
        <v>15</v>
      </c>
      <c r="N38" s="1"/>
      <c r="S38" s="1"/>
    </row>
    <row r="39" spans="1:22">
      <c r="A39" s="80"/>
      <c r="B39" s="8">
        <f t="shared" si="0"/>
        <v>602</v>
      </c>
      <c r="C39" s="50">
        <v>5</v>
      </c>
      <c r="D39" s="50">
        <v>6</v>
      </c>
      <c r="E39" s="50">
        <v>7</v>
      </c>
      <c r="F39" s="129"/>
      <c r="G39" s="129"/>
      <c r="H39" s="129"/>
      <c r="I39" s="129"/>
      <c r="J39" s="129"/>
      <c r="K39" s="129"/>
      <c r="L39" s="128"/>
      <c r="N39" s="17"/>
      <c r="S39" s="92" t="s">
        <v>22</v>
      </c>
      <c r="T39" s="12" t="s">
        <v>10</v>
      </c>
      <c r="U39" s="13">
        <f>SUM(U40:U42)</f>
        <v>69</v>
      </c>
      <c r="V39" s="73">
        <v>1</v>
      </c>
    </row>
    <row r="40" spans="1:22">
      <c r="A40" s="80"/>
      <c r="B40" s="8">
        <f t="shared" si="0"/>
        <v>603</v>
      </c>
      <c r="C40" s="50">
        <v>8</v>
      </c>
      <c r="D40" s="50">
        <v>9</v>
      </c>
      <c r="E40" s="50">
        <v>10</v>
      </c>
      <c r="F40" s="129"/>
      <c r="G40" s="129"/>
      <c r="H40" s="129"/>
      <c r="I40" s="129"/>
      <c r="J40" s="129"/>
      <c r="K40" s="129"/>
      <c r="L40" s="128"/>
      <c r="N40" s="6"/>
      <c r="R40" s="1"/>
      <c r="S40" s="93"/>
      <c r="T40" s="14" t="s">
        <v>11</v>
      </c>
      <c r="U40" s="13" cm="1">
        <f t="array" ref="U40">CountByColor(C128:K145, T40)</f>
        <v>1</v>
      </c>
      <c r="V40" s="74">
        <v>1.3899999999999999E-2</v>
      </c>
    </row>
    <row r="41" spans="1:22">
      <c r="A41" s="80"/>
      <c r="B41" s="8">
        <f t="shared" si="0"/>
        <v>604</v>
      </c>
      <c r="C41" s="50">
        <v>11</v>
      </c>
      <c r="D41" s="50">
        <v>12</v>
      </c>
      <c r="E41" s="50">
        <v>13</v>
      </c>
      <c r="F41" s="129"/>
      <c r="G41" s="129"/>
      <c r="H41" s="129"/>
      <c r="I41" s="129"/>
      <c r="J41" s="129"/>
      <c r="K41" s="129"/>
      <c r="L41" s="128"/>
      <c r="N41" s="6"/>
      <c r="R41" s="1"/>
      <c r="S41" s="93"/>
      <c r="T41" s="15" t="s">
        <v>12</v>
      </c>
      <c r="U41" s="13" cm="1">
        <f t="array" ref="U41">CountByColor(C128:K145, T41)</f>
        <v>1</v>
      </c>
      <c r="V41" s="74">
        <v>1.3899999999999999E-2</v>
      </c>
    </row>
    <row r="42" spans="1:22">
      <c r="A42" s="80"/>
      <c r="B42" s="8">
        <f t="shared" si="0"/>
        <v>605</v>
      </c>
      <c r="C42" s="50">
        <v>14</v>
      </c>
      <c r="D42" s="50">
        <v>15</v>
      </c>
      <c r="E42" s="50">
        <v>16</v>
      </c>
      <c r="F42" s="129"/>
      <c r="G42" s="129"/>
      <c r="H42" s="129"/>
      <c r="I42" s="129"/>
      <c r="J42" s="129"/>
      <c r="K42" s="129"/>
      <c r="L42" s="128"/>
      <c r="N42" s="6"/>
      <c r="R42" s="1"/>
      <c r="S42" s="94"/>
      <c r="T42" s="16" t="s">
        <v>13</v>
      </c>
      <c r="U42" s="13" cm="1">
        <f t="array" ref="U42">CountByColor(C128:K145, T42)</f>
        <v>67</v>
      </c>
      <c r="V42" s="74">
        <v>0.97219999999999995</v>
      </c>
    </row>
    <row r="43" spans="1:22">
      <c r="A43" s="80"/>
      <c r="B43" s="8">
        <f t="shared" si="0"/>
        <v>606</v>
      </c>
      <c r="C43" s="67">
        <v>17</v>
      </c>
      <c r="D43" s="50">
        <v>18</v>
      </c>
      <c r="E43" s="50">
        <v>19</v>
      </c>
      <c r="F43" s="129"/>
      <c r="G43" s="129"/>
      <c r="H43" s="129"/>
      <c r="I43" s="129"/>
      <c r="J43" s="129"/>
      <c r="K43" s="129"/>
      <c r="L43" s="128"/>
    </row>
    <row r="44" spans="1:22">
      <c r="A44" s="80">
        <v>7</v>
      </c>
      <c r="B44" s="8">
        <f t="shared" si="0"/>
        <v>701</v>
      </c>
      <c r="C44" s="50">
        <v>26</v>
      </c>
      <c r="D44" s="50">
        <v>27</v>
      </c>
      <c r="E44" s="50">
        <v>28</v>
      </c>
      <c r="F44" s="50">
        <v>25</v>
      </c>
      <c r="G44" s="50">
        <v>44</v>
      </c>
      <c r="H44" s="50">
        <v>45</v>
      </c>
      <c r="I44" s="50">
        <v>46</v>
      </c>
      <c r="J44" s="66">
        <v>47</v>
      </c>
      <c r="K44" s="50">
        <v>48</v>
      </c>
      <c r="L44" s="128"/>
    </row>
    <row r="45" spans="1:22">
      <c r="A45" s="80"/>
      <c r="B45" s="8">
        <f t="shared" si="0"/>
        <v>702</v>
      </c>
      <c r="C45" s="50">
        <v>29</v>
      </c>
      <c r="D45" s="50">
        <v>30</v>
      </c>
      <c r="E45" s="50">
        <v>31</v>
      </c>
      <c r="F45" s="129"/>
      <c r="G45" s="129"/>
      <c r="H45" s="129"/>
      <c r="I45" s="129"/>
      <c r="J45" s="129"/>
      <c r="K45" s="129"/>
      <c r="L45" s="128"/>
    </row>
    <row r="46" spans="1:22">
      <c r="A46" s="80"/>
      <c r="B46" s="8">
        <f t="shared" si="0"/>
        <v>703</v>
      </c>
      <c r="C46" s="50">
        <v>32</v>
      </c>
      <c r="D46" s="50">
        <v>33</v>
      </c>
      <c r="E46" s="67">
        <v>34</v>
      </c>
      <c r="F46" s="129"/>
      <c r="G46" s="129"/>
      <c r="H46" s="129"/>
      <c r="I46" s="129"/>
      <c r="J46" s="129"/>
      <c r="K46" s="129"/>
      <c r="L46" s="128"/>
    </row>
    <row r="47" spans="1:22">
      <c r="A47" s="80"/>
      <c r="B47" s="8">
        <f t="shared" si="0"/>
        <v>704</v>
      </c>
      <c r="C47" s="50">
        <v>35</v>
      </c>
      <c r="D47" s="50">
        <v>36</v>
      </c>
      <c r="E47" s="50">
        <v>37</v>
      </c>
      <c r="F47" s="129"/>
      <c r="G47" s="129"/>
      <c r="H47" s="129"/>
      <c r="I47" s="129"/>
      <c r="J47" s="129"/>
      <c r="K47" s="129"/>
      <c r="L47" s="128"/>
    </row>
    <row r="48" spans="1:22">
      <c r="A48" s="80"/>
      <c r="B48" s="8">
        <f t="shared" si="0"/>
        <v>705</v>
      </c>
      <c r="C48" s="50">
        <v>38</v>
      </c>
      <c r="D48" s="50">
        <v>39</v>
      </c>
      <c r="E48" s="50">
        <v>40</v>
      </c>
      <c r="F48" s="129"/>
      <c r="G48" s="129"/>
      <c r="H48" s="129"/>
      <c r="I48" s="129"/>
      <c r="J48" s="129"/>
      <c r="K48" s="129"/>
      <c r="L48" s="128"/>
    </row>
    <row r="49" spans="1:12">
      <c r="A49" s="80"/>
      <c r="B49" s="8">
        <f t="shared" si="0"/>
        <v>706</v>
      </c>
      <c r="C49" s="50">
        <v>41</v>
      </c>
      <c r="D49" s="66">
        <v>42</v>
      </c>
      <c r="E49" s="50">
        <v>43</v>
      </c>
      <c r="F49" s="129"/>
      <c r="G49" s="129"/>
      <c r="H49" s="129"/>
      <c r="I49" s="129"/>
      <c r="J49" s="129"/>
      <c r="K49" s="129"/>
      <c r="L49" s="128"/>
    </row>
    <row r="50" spans="1:12">
      <c r="A50" s="80">
        <v>8</v>
      </c>
      <c r="B50" s="8">
        <f t="shared" si="0"/>
        <v>801</v>
      </c>
      <c r="C50" s="50">
        <v>50</v>
      </c>
      <c r="D50" s="50">
        <v>51</v>
      </c>
      <c r="E50" s="66">
        <v>52</v>
      </c>
      <c r="F50" s="50">
        <v>49</v>
      </c>
      <c r="G50" s="50">
        <v>68</v>
      </c>
      <c r="H50" s="66">
        <v>69</v>
      </c>
      <c r="I50" s="50">
        <v>70</v>
      </c>
      <c r="J50" s="50">
        <v>71</v>
      </c>
      <c r="K50" s="50">
        <v>72</v>
      </c>
      <c r="L50" s="128"/>
    </row>
    <row r="51" spans="1:12">
      <c r="A51" s="80"/>
      <c r="B51" s="8">
        <f t="shared" si="0"/>
        <v>802</v>
      </c>
      <c r="C51" s="50">
        <v>53</v>
      </c>
      <c r="D51" s="50">
        <v>54</v>
      </c>
      <c r="E51" s="50">
        <v>55</v>
      </c>
      <c r="F51" s="129"/>
      <c r="G51" s="129"/>
      <c r="H51" s="129"/>
      <c r="I51" s="129"/>
      <c r="J51" s="129"/>
      <c r="K51" s="129"/>
      <c r="L51" s="128"/>
    </row>
    <row r="52" spans="1:12">
      <c r="A52" s="80"/>
      <c r="B52" s="8">
        <f t="shared" si="0"/>
        <v>803</v>
      </c>
      <c r="C52" s="50">
        <v>56</v>
      </c>
      <c r="D52" s="50">
        <v>57</v>
      </c>
      <c r="E52" s="50">
        <v>58</v>
      </c>
      <c r="F52" s="129"/>
      <c r="G52" s="129"/>
      <c r="H52" s="129"/>
      <c r="I52" s="129"/>
      <c r="J52" s="129"/>
      <c r="K52" s="129"/>
      <c r="L52" s="128"/>
    </row>
    <row r="53" spans="1:12">
      <c r="A53" s="80"/>
      <c r="B53" s="8">
        <f t="shared" si="0"/>
        <v>804</v>
      </c>
      <c r="C53" s="50">
        <v>59</v>
      </c>
      <c r="D53" s="50">
        <v>60</v>
      </c>
      <c r="E53" s="50">
        <v>61</v>
      </c>
      <c r="F53" s="129"/>
      <c r="G53" s="129"/>
      <c r="H53" s="129"/>
      <c r="I53" s="129"/>
      <c r="J53" s="129"/>
      <c r="K53" s="129"/>
      <c r="L53" s="128"/>
    </row>
    <row r="54" spans="1:12">
      <c r="A54" s="80"/>
      <c r="B54" s="8">
        <f t="shared" si="0"/>
        <v>805</v>
      </c>
      <c r="C54" s="50">
        <v>62</v>
      </c>
      <c r="D54" s="50">
        <v>63</v>
      </c>
      <c r="E54" s="50">
        <v>64</v>
      </c>
      <c r="F54" s="129"/>
      <c r="G54" s="129"/>
      <c r="H54" s="129"/>
      <c r="I54" s="129"/>
      <c r="J54" s="129"/>
      <c r="K54" s="129"/>
      <c r="L54" s="128"/>
    </row>
    <row r="55" spans="1:12">
      <c r="A55" s="80"/>
      <c r="B55" s="8">
        <f t="shared" si="0"/>
        <v>806</v>
      </c>
      <c r="C55" s="50">
        <v>65</v>
      </c>
      <c r="D55" s="50">
        <v>66</v>
      </c>
      <c r="E55" s="50">
        <v>67</v>
      </c>
      <c r="F55" s="129"/>
      <c r="G55" s="129"/>
      <c r="H55" s="129"/>
      <c r="I55" s="129"/>
      <c r="J55" s="129"/>
      <c r="K55" s="129"/>
      <c r="L55" s="128"/>
    </row>
    <row r="56" spans="1:12">
      <c r="A56" s="80">
        <v>9</v>
      </c>
      <c r="B56" s="8">
        <f t="shared" si="0"/>
        <v>901</v>
      </c>
      <c r="C56" s="50">
        <v>1</v>
      </c>
      <c r="D56" s="50">
        <v>2</v>
      </c>
      <c r="E56" s="50">
        <v>3</v>
      </c>
      <c r="F56" s="50">
        <v>19</v>
      </c>
      <c r="G56" s="50">
        <v>20</v>
      </c>
      <c r="H56" s="50"/>
      <c r="I56" s="50">
        <v>21</v>
      </c>
      <c r="J56" s="50">
        <v>22</v>
      </c>
      <c r="K56" s="50">
        <v>23</v>
      </c>
      <c r="L56" s="128" t="s">
        <v>16</v>
      </c>
    </row>
    <row r="57" spans="1:12">
      <c r="A57" s="80"/>
      <c r="B57" s="8">
        <f t="shared" si="0"/>
        <v>902</v>
      </c>
      <c r="C57" s="50">
        <v>4</v>
      </c>
      <c r="D57" s="50">
        <v>5</v>
      </c>
      <c r="E57" s="50">
        <v>6</v>
      </c>
      <c r="F57" s="129"/>
      <c r="G57" s="129"/>
      <c r="H57" s="129"/>
      <c r="I57" s="129"/>
      <c r="J57" s="129"/>
      <c r="K57" s="129"/>
      <c r="L57" s="128"/>
    </row>
    <row r="58" spans="1:12">
      <c r="A58" s="80"/>
      <c r="B58" s="8">
        <f t="shared" si="0"/>
        <v>903</v>
      </c>
      <c r="C58" s="50">
        <v>7</v>
      </c>
      <c r="D58" s="50">
        <v>8</v>
      </c>
      <c r="E58" s="50">
        <v>9</v>
      </c>
      <c r="F58" s="129"/>
      <c r="G58" s="129"/>
      <c r="H58" s="129"/>
      <c r="I58" s="129"/>
      <c r="J58" s="129"/>
      <c r="K58" s="129"/>
      <c r="L58" s="128"/>
    </row>
    <row r="59" spans="1:12">
      <c r="A59" s="80"/>
      <c r="B59" s="8">
        <f t="shared" si="0"/>
        <v>904</v>
      </c>
      <c r="C59" s="50">
        <v>10</v>
      </c>
      <c r="D59" s="50">
        <v>11</v>
      </c>
      <c r="E59" s="50">
        <v>12</v>
      </c>
      <c r="F59" s="129"/>
      <c r="G59" s="129"/>
      <c r="H59" s="129"/>
      <c r="I59" s="129"/>
      <c r="J59" s="129"/>
      <c r="K59" s="129"/>
      <c r="L59" s="128"/>
    </row>
    <row r="60" spans="1:12">
      <c r="A60" s="80"/>
      <c r="B60" s="8">
        <f t="shared" si="0"/>
        <v>905</v>
      </c>
      <c r="C60" s="50">
        <v>13</v>
      </c>
      <c r="D60" s="50">
        <v>14</v>
      </c>
      <c r="E60" s="50">
        <v>15</v>
      </c>
      <c r="F60" s="129"/>
      <c r="G60" s="129"/>
      <c r="H60" s="129"/>
      <c r="I60" s="129"/>
      <c r="J60" s="129"/>
      <c r="K60" s="129"/>
      <c r="L60" s="128"/>
    </row>
    <row r="61" spans="1:12">
      <c r="A61" s="80"/>
      <c r="B61" s="8">
        <f t="shared" si="0"/>
        <v>906</v>
      </c>
      <c r="C61" s="50">
        <v>16</v>
      </c>
      <c r="D61" s="50">
        <v>17</v>
      </c>
      <c r="E61" s="50">
        <v>18</v>
      </c>
      <c r="F61" s="129"/>
      <c r="G61" s="129"/>
      <c r="H61" s="129"/>
      <c r="I61" s="129"/>
      <c r="J61" s="129"/>
      <c r="K61" s="129"/>
      <c r="L61" s="128"/>
    </row>
    <row r="62" spans="1:12">
      <c r="A62" s="80">
        <v>10</v>
      </c>
      <c r="B62" s="8">
        <f t="shared" si="0"/>
        <v>1001</v>
      </c>
      <c r="C62" s="50">
        <v>25</v>
      </c>
      <c r="D62" s="50">
        <v>26</v>
      </c>
      <c r="E62" s="50">
        <v>27</v>
      </c>
      <c r="F62" s="50">
        <v>24</v>
      </c>
      <c r="G62" s="50">
        <v>43</v>
      </c>
      <c r="H62" s="66">
        <v>44</v>
      </c>
      <c r="I62" s="50">
        <v>45</v>
      </c>
      <c r="J62" s="50">
        <v>46</v>
      </c>
      <c r="K62" s="50">
        <v>47</v>
      </c>
      <c r="L62" s="128"/>
    </row>
    <row r="63" spans="1:12">
      <c r="A63" s="80"/>
      <c r="B63" s="8">
        <f t="shared" si="0"/>
        <v>1002</v>
      </c>
      <c r="C63" s="50">
        <v>28</v>
      </c>
      <c r="D63" s="50">
        <v>29</v>
      </c>
      <c r="E63" s="50">
        <v>30</v>
      </c>
      <c r="F63" s="129"/>
      <c r="G63" s="129"/>
      <c r="H63" s="129"/>
      <c r="I63" s="129"/>
      <c r="J63" s="129"/>
      <c r="K63" s="129"/>
      <c r="L63" s="128"/>
    </row>
    <row r="64" spans="1:12">
      <c r="A64" s="80"/>
      <c r="B64" s="8">
        <f t="shared" si="0"/>
        <v>1003</v>
      </c>
      <c r="C64" s="50">
        <v>31</v>
      </c>
      <c r="D64" s="50">
        <v>32</v>
      </c>
      <c r="E64" s="50">
        <v>33</v>
      </c>
      <c r="F64" s="129"/>
      <c r="G64" s="129"/>
      <c r="H64" s="129"/>
      <c r="I64" s="129"/>
      <c r="J64" s="129"/>
      <c r="K64" s="129"/>
      <c r="L64" s="128"/>
    </row>
    <row r="65" spans="1:12">
      <c r="A65" s="80"/>
      <c r="B65" s="8">
        <f t="shared" si="0"/>
        <v>1004</v>
      </c>
      <c r="C65" s="50">
        <v>34</v>
      </c>
      <c r="D65" s="50">
        <v>35</v>
      </c>
      <c r="E65" s="50">
        <v>36</v>
      </c>
      <c r="F65" s="129"/>
      <c r="G65" s="129"/>
      <c r="H65" s="129"/>
      <c r="I65" s="129"/>
      <c r="J65" s="129"/>
      <c r="K65" s="129"/>
      <c r="L65" s="128"/>
    </row>
    <row r="66" spans="1:12">
      <c r="A66" s="80"/>
      <c r="B66" s="8">
        <f t="shared" si="0"/>
        <v>1005</v>
      </c>
      <c r="C66" s="50">
        <v>37</v>
      </c>
      <c r="D66" s="50">
        <v>38</v>
      </c>
      <c r="E66" s="50">
        <v>39</v>
      </c>
      <c r="F66" s="129"/>
      <c r="G66" s="129"/>
      <c r="H66" s="129"/>
      <c r="I66" s="129"/>
      <c r="J66" s="129"/>
      <c r="K66" s="129"/>
      <c r="L66" s="128"/>
    </row>
    <row r="67" spans="1:12">
      <c r="A67" s="80"/>
      <c r="B67" s="8">
        <f t="shared" si="0"/>
        <v>1006</v>
      </c>
      <c r="C67" s="50">
        <v>40</v>
      </c>
      <c r="D67" s="50">
        <v>41</v>
      </c>
      <c r="E67" s="50">
        <v>42</v>
      </c>
      <c r="F67" s="129"/>
      <c r="G67" s="129"/>
      <c r="H67" s="129"/>
      <c r="I67" s="129"/>
      <c r="J67" s="129"/>
      <c r="K67" s="129"/>
      <c r="L67" s="128"/>
    </row>
    <row r="68" spans="1:12">
      <c r="A68" s="80">
        <v>11</v>
      </c>
      <c r="B68" s="8">
        <f t="shared" si="0"/>
        <v>1101</v>
      </c>
      <c r="C68" s="50">
        <v>49</v>
      </c>
      <c r="D68" s="50">
        <v>50</v>
      </c>
      <c r="E68" s="50">
        <v>51</v>
      </c>
      <c r="F68" s="50">
        <v>48</v>
      </c>
      <c r="G68" s="50">
        <v>67</v>
      </c>
      <c r="H68" s="50">
        <v>68</v>
      </c>
      <c r="I68" s="50">
        <v>69</v>
      </c>
      <c r="J68" s="50">
        <v>70</v>
      </c>
      <c r="K68" s="50">
        <v>71</v>
      </c>
      <c r="L68" s="128"/>
    </row>
    <row r="69" spans="1:12">
      <c r="A69" s="80"/>
      <c r="B69" s="8">
        <f t="shared" si="0"/>
        <v>1102</v>
      </c>
      <c r="C69" s="50">
        <v>52</v>
      </c>
      <c r="D69" s="50">
        <v>53</v>
      </c>
      <c r="E69" s="50">
        <v>54</v>
      </c>
      <c r="F69" s="129"/>
      <c r="G69" s="129"/>
      <c r="H69" s="129"/>
      <c r="I69" s="129"/>
      <c r="J69" s="129"/>
      <c r="K69" s="129"/>
      <c r="L69" s="128"/>
    </row>
    <row r="70" spans="1:12">
      <c r="A70" s="80"/>
      <c r="B70" s="8">
        <f t="shared" si="0"/>
        <v>1103</v>
      </c>
      <c r="C70" s="50">
        <v>55</v>
      </c>
      <c r="D70" s="50">
        <v>56</v>
      </c>
      <c r="E70" s="50">
        <v>57</v>
      </c>
      <c r="F70" s="129"/>
      <c r="G70" s="129"/>
      <c r="H70" s="129"/>
      <c r="I70" s="129"/>
      <c r="J70" s="129"/>
      <c r="K70" s="129"/>
      <c r="L70" s="128"/>
    </row>
    <row r="71" spans="1:12">
      <c r="A71" s="80"/>
      <c r="B71" s="8">
        <f t="shared" si="0"/>
        <v>1104</v>
      </c>
      <c r="C71" s="50">
        <v>58</v>
      </c>
      <c r="D71" s="50">
        <v>59</v>
      </c>
      <c r="E71" s="50">
        <v>60</v>
      </c>
      <c r="F71" s="129"/>
      <c r="G71" s="129"/>
      <c r="H71" s="129"/>
      <c r="I71" s="129"/>
      <c r="J71" s="129"/>
      <c r="K71" s="129"/>
      <c r="L71" s="128"/>
    </row>
    <row r="72" spans="1:12">
      <c r="A72" s="80"/>
      <c r="B72" s="8">
        <f t="shared" si="0"/>
        <v>1105</v>
      </c>
      <c r="C72" s="50">
        <v>61</v>
      </c>
      <c r="D72" s="50">
        <v>62</v>
      </c>
      <c r="E72" s="50">
        <v>63</v>
      </c>
      <c r="F72" s="129"/>
      <c r="G72" s="129"/>
      <c r="H72" s="129"/>
      <c r="I72" s="129"/>
      <c r="J72" s="129"/>
      <c r="K72" s="129"/>
      <c r="L72" s="128"/>
    </row>
    <row r="73" spans="1:12">
      <c r="A73" s="80"/>
      <c r="B73" s="8">
        <f t="shared" ref="B73:B136" si="1">(INT((ROW()-8)/6)+1)*100 + MOD(ROW()-8,6)+1</f>
        <v>1106</v>
      </c>
      <c r="C73" s="50">
        <v>64</v>
      </c>
      <c r="D73" s="50">
        <v>65</v>
      </c>
      <c r="E73" s="50">
        <v>66</v>
      </c>
      <c r="F73" s="129"/>
      <c r="G73" s="129"/>
      <c r="H73" s="129"/>
      <c r="I73" s="129"/>
      <c r="J73" s="129"/>
      <c r="K73" s="129"/>
      <c r="L73" s="128"/>
    </row>
    <row r="74" spans="1:12">
      <c r="A74" s="80">
        <v>12</v>
      </c>
      <c r="B74" s="8">
        <f t="shared" si="1"/>
        <v>1201</v>
      </c>
      <c r="C74" s="50">
        <v>1</v>
      </c>
      <c r="D74" s="50">
        <v>2</v>
      </c>
      <c r="E74" s="50">
        <v>3</v>
      </c>
      <c r="F74" s="50">
        <v>19</v>
      </c>
      <c r="G74" s="50">
        <v>20</v>
      </c>
      <c r="H74" s="7"/>
      <c r="I74" s="50">
        <v>21</v>
      </c>
      <c r="J74" s="50">
        <v>22</v>
      </c>
      <c r="K74" s="50">
        <v>23</v>
      </c>
      <c r="L74" s="128" t="s">
        <v>18</v>
      </c>
    </row>
    <row r="75" spans="1:12">
      <c r="A75" s="80"/>
      <c r="B75" s="8">
        <f t="shared" si="1"/>
        <v>1202</v>
      </c>
      <c r="C75" s="50">
        <v>4</v>
      </c>
      <c r="D75" s="50">
        <v>5</v>
      </c>
      <c r="E75" s="50">
        <v>6</v>
      </c>
      <c r="F75" s="129"/>
      <c r="G75" s="129"/>
      <c r="H75" s="129"/>
      <c r="I75" s="129"/>
      <c r="J75" s="129"/>
      <c r="K75" s="129"/>
      <c r="L75" s="128"/>
    </row>
    <row r="76" spans="1:12">
      <c r="A76" s="80"/>
      <c r="B76" s="8">
        <f t="shared" si="1"/>
        <v>1203</v>
      </c>
      <c r="C76" s="50">
        <v>7</v>
      </c>
      <c r="D76" s="50">
        <v>8</v>
      </c>
      <c r="E76" s="50">
        <v>9</v>
      </c>
      <c r="F76" s="129"/>
      <c r="G76" s="129"/>
      <c r="H76" s="129"/>
      <c r="I76" s="129"/>
      <c r="J76" s="129"/>
      <c r="K76" s="129"/>
      <c r="L76" s="128"/>
    </row>
    <row r="77" spans="1:12">
      <c r="A77" s="80"/>
      <c r="B77" s="8">
        <f t="shared" si="1"/>
        <v>1204</v>
      </c>
      <c r="C77" s="50">
        <v>10</v>
      </c>
      <c r="D77" s="50">
        <v>11</v>
      </c>
      <c r="E77" s="50">
        <v>12</v>
      </c>
      <c r="F77" s="129"/>
      <c r="G77" s="129"/>
      <c r="H77" s="129"/>
      <c r="I77" s="129"/>
      <c r="J77" s="129"/>
      <c r="K77" s="129"/>
      <c r="L77" s="128"/>
    </row>
    <row r="78" spans="1:12">
      <c r="A78" s="80"/>
      <c r="B78" s="8">
        <f t="shared" si="1"/>
        <v>1205</v>
      </c>
      <c r="C78" s="50">
        <v>13</v>
      </c>
      <c r="D78" s="50">
        <v>14</v>
      </c>
      <c r="E78" s="50">
        <v>15</v>
      </c>
      <c r="F78" s="129"/>
      <c r="G78" s="129"/>
      <c r="H78" s="129"/>
      <c r="I78" s="129"/>
      <c r="J78" s="129"/>
      <c r="K78" s="129"/>
      <c r="L78" s="128"/>
    </row>
    <row r="79" spans="1:12">
      <c r="A79" s="80"/>
      <c r="B79" s="8">
        <f t="shared" si="1"/>
        <v>1206</v>
      </c>
      <c r="C79" s="66">
        <v>16</v>
      </c>
      <c r="D79" s="50">
        <v>17</v>
      </c>
      <c r="E79" s="50">
        <v>18</v>
      </c>
      <c r="F79" s="129"/>
      <c r="G79" s="129"/>
      <c r="H79" s="129"/>
      <c r="I79" s="129"/>
      <c r="J79" s="129"/>
      <c r="K79" s="129"/>
      <c r="L79" s="128"/>
    </row>
    <row r="80" spans="1:12">
      <c r="A80" s="80">
        <v>13</v>
      </c>
      <c r="B80" s="8">
        <f t="shared" si="1"/>
        <v>1301</v>
      </c>
      <c r="C80" s="50">
        <v>24</v>
      </c>
      <c r="D80" s="50">
        <v>25</v>
      </c>
      <c r="E80" s="50">
        <v>26</v>
      </c>
      <c r="F80" s="50">
        <v>42</v>
      </c>
      <c r="G80" s="50">
        <v>43</v>
      </c>
      <c r="H80" s="7"/>
      <c r="I80" s="50">
        <v>44</v>
      </c>
      <c r="J80" s="50">
        <v>45</v>
      </c>
      <c r="K80" s="50">
        <v>46</v>
      </c>
      <c r="L80" s="128"/>
    </row>
    <row r="81" spans="1:12">
      <c r="A81" s="80"/>
      <c r="B81" s="8">
        <f t="shared" si="1"/>
        <v>1302</v>
      </c>
      <c r="C81" s="50">
        <v>27</v>
      </c>
      <c r="D81" s="50">
        <v>28</v>
      </c>
      <c r="E81" s="50">
        <v>29</v>
      </c>
      <c r="F81" s="129"/>
      <c r="G81" s="129"/>
      <c r="H81" s="129"/>
      <c r="I81" s="129"/>
      <c r="J81" s="129"/>
      <c r="K81" s="129"/>
      <c r="L81" s="128"/>
    </row>
    <row r="82" spans="1:12">
      <c r="A82" s="80"/>
      <c r="B82" s="8">
        <f t="shared" si="1"/>
        <v>1303</v>
      </c>
      <c r="C82" s="50">
        <v>30</v>
      </c>
      <c r="D82" s="50">
        <v>31</v>
      </c>
      <c r="E82" s="50">
        <v>32</v>
      </c>
      <c r="F82" s="129"/>
      <c r="G82" s="129"/>
      <c r="H82" s="129"/>
      <c r="I82" s="129"/>
      <c r="J82" s="129"/>
      <c r="K82" s="129"/>
      <c r="L82" s="128"/>
    </row>
    <row r="83" spans="1:12">
      <c r="A83" s="80"/>
      <c r="B83" s="8">
        <f t="shared" si="1"/>
        <v>1304</v>
      </c>
      <c r="C83" s="50">
        <v>33</v>
      </c>
      <c r="D83" s="50">
        <v>34</v>
      </c>
      <c r="E83" s="50">
        <v>35</v>
      </c>
      <c r="F83" s="129"/>
      <c r="G83" s="129"/>
      <c r="H83" s="129"/>
      <c r="I83" s="129"/>
      <c r="J83" s="129"/>
      <c r="K83" s="129"/>
      <c r="L83" s="128"/>
    </row>
    <row r="84" spans="1:12">
      <c r="A84" s="80"/>
      <c r="B84" s="8">
        <f t="shared" si="1"/>
        <v>1305</v>
      </c>
      <c r="C84" s="50">
        <v>36</v>
      </c>
      <c r="D84" s="50">
        <v>37</v>
      </c>
      <c r="E84" s="50">
        <v>38</v>
      </c>
      <c r="F84" s="129"/>
      <c r="G84" s="129"/>
      <c r="H84" s="129"/>
      <c r="I84" s="129"/>
      <c r="J84" s="129"/>
      <c r="K84" s="129"/>
      <c r="L84" s="128"/>
    </row>
    <row r="85" spans="1:12">
      <c r="A85" s="80"/>
      <c r="B85" s="8">
        <f t="shared" si="1"/>
        <v>1306</v>
      </c>
      <c r="C85" s="50">
        <v>39</v>
      </c>
      <c r="D85" s="50">
        <v>40</v>
      </c>
      <c r="E85" s="50">
        <v>41</v>
      </c>
      <c r="F85" s="129"/>
      <c r="G85" s="129"/>
      <c r="H85" s="129"/>
      <c r="I85" s="129"/>
      <c r="J85" s="129"/>
      <c r="K85" s="129"/>
      <c r="L85" s="128"/>
    </row>
    <row r="86" spans="1:12">
      <c r="A86" s="80">
        <v>14</v>
      </c>
      <c r="B86" s="8">
        <f t="shared" si="1"/>
        <v>1401</v>
      </c>
      <c r="C86" s="50">
        <v>47</v>
      </c>
      <c r="D86" s="50">
        <v>48</v>
      </c>
      <c r="E86" s="50">
        <v>49</v>
      </c>
      <c r="F86" s="50">
        <v>65</v>
      </c>
      <c r="G86" s="50">
        <v>66</v>
      </c>
      <c r="H86" s="7"/>
      <c r="I86" s="50">
        <v>67</v>
      </c>
      <c r="J86" s="50">
        <v>68</v>
      </c>
      <c r="K86" s="50">
        <v>69</v>
      </c>
      <c r="L86" s="128"/>
    </row>
    <row r="87" spans="1:12">
      <c r="A87" s="80"/>
      <c r="B87" s="8">
        <f t="shared" si="1"/>
        <v>1402</v>
      </c>
      <c r="C87" s="50">
        <v>50</v>
      </c>
      <c r="D87" s="50">
        <v>51</v>
      </c>
      <c r="E87" s="50">
        <v>52</v>
      </c>
      <c r="F87" s="129"/>
      <c r="G87" s="129"/>
      <c r="H87" s="129"/>
      <c r="I87" s="129"/>
      <c r="J87" s="129"/>
      <c r="K87" s="129"/>
      <c r="L87" s="128"/>
    </row>
    <row r="88" spans="1:12">
      <c r="A88" s="80"/>
      <c r="B88" s="8">
        <f t="shared" si="1"/>
        <v>1403</v>
      </c>
      <c r="C88" s="50">
        <v>53</v>
      </c>
      <c r="D88" s="50">
        <v>54</v>
      </c>
      <c r="E88" s="50">
        <v>55</v>
      </c>
      <c r="F88" s="129"/>
      <c r="G88" s="129"/>
      <c r="H88" s="129"/>
      <c r="I88" s="129"/>
      <c r="J88" s="129"/>
      <c r="K88" s="129"/>
      <c r="L88" s="128"/>
    </row>
    <row r="89" spans="1:12">
      <c r="A89" s="80"/>
      <c r="B89" s="8">
        <f t="shared" si="1"/>
        <v>1404</v>
      </c>
      <c r="C89" s="50">
        <v>56</v>
      </c>
      <c r="D89" s="50">
        <v>57</v>
      </c>
      <c r="E89" s="50">
        <v>58</v>
      </c>
      <c r="F89" s="129"/>
      <c r="G89" s="129"/>
      <c r="H89" s="129"/>
      <c r="I89" s="129"/>
      <c r="J89" s="129"/>
      <c r="K89" s="129"/>
      <c r="L89" s="128"/>
    </row>
    <row r="90" spans="1:12">
      <c r="A90" s="80"/>
      <c r="B90" s="8">
        <f t="shared" si="1"/>
        <v>1405</v>
      </c>
      <c r="C90" s="50">
        <v>59</v>
      </c>
      <c r="D90" s="50">
        <v>60</v>
      </c>
      <c r="E90" s="50">
        <v>61</v>
      </c>
      <c r="F90" s="129"/>
      <c r="G90" s="129"/>
      <c r="H90" s="129"/>
      <c r="I90" s="129"/>
      <c r="J90" s="129"/>
      <c r="K90" s="129"/>
      <c r="L90" s="128"/>
    </row>
    <row r="91" spans="1:12">
      <c r="A91" s="80"/>
      <c r="B91" s="8">
        <f t="shared" si="1"/>
        <v>1406</v>
      </c>
      <c r="C91" s="50">
        <v>62</v>
      </c>
      <c r="D91" s="50">
        <v>63</v>
      </c>
      <c r="E91" s="50">
        <v>64</v>
      </c>
      <c r="F91" s="129"/>
      <c r="G91" s="129"/>
      <c r="H91" s="129"/>
      <c r="I91" s="129"/>
      <c r="J91" s="129"/>
      <c r="K91" s="129"/>
      <c r="L91" s="128"/>
    </row>
    <row r="92" spans="1:12">
      <c r="A92" s="80">
        <v>15</v>
      </c>
      <c r="B92" s="8">
        <f t="shared" si="1"/>
        <v>1501</v>
      </c>
      <c r="C92" s="50">
        <v>1</v>
      </c>
      <c r="D92" s="50">
        <v>2</v>
      </c>
      <c r="E92" s="50">
        <v>3</v>
      </c>
      <c r="F92" s="50">
        <v>19</v>
      </c>
      <c r="G92" s="50">
        <v>20</v>
      </c>
      <c r="H92" s="7"/>
      <c r="I92" s="50">
        <v>21</v>
      </c>
      <c r="J92" s="50">
        <v>22</v>
      </c>
      <c r="K92" s="50">
        <v>23</v>
      </c>
      <c r="L92" s="128" t="s">
        <v>20</v>
      </c>
    </row>
    <row r="93" spans="1:12">
      <c r="A93" s="80"/>
      <c r="B93" s="8">
        <f t="shared" si="1"/>
        <v>1502</v>
      </c>
      <c r="C93" s="50">
        <v>4</v>
      </c>
      <c r="D93" s="50">
        <v>5</v>
      </c>
      <c r="E93" s="50">
        <v>6</v>
      </c>
      <c r="F93" s="129"/>
      <c r="G93" s="129"/>
      <c r="H93" s="129"/>
      <c r="I93" s="129"/>
      <c r="J93" s="129"/>
      <c r="K93" s="129"/>
      <c r="L93" s="128"/>
    </row>
    <row r="94" spans="1:12">
      <c r="A94" s="80"/>
      <c r="B94" s="8">
        <f t="shared" si="1"/>
        <v>1503</v>
      </c>
      <c r="C94" s="50">
        <v>7</v>
      </c>
      <c r="D94" s="50">
        <v>8</v>
      </c>
      <c r="E94" s="50">
        <v>9</v>
      </c>
      <c r="F94" s="129"/>
      <c r="G94" s="129"/>
      <c r="H94" s="129"/>
      <c r="I94" s="129"/>
      <c r="J94" s="129"/>
      <c r="K94" s="129"/>
      <c r="L94" s="128"/>
    </row>
    <row r="95" spans="1:12">
      <c r="A95" s="80"/>
      <c r="B95" s="8">
        <f t="shared" si="1"/>
        <v>1504</v>
      </c>
      <c r="C95" s="50">
        <v>10</v>
      </c>
      <c r="D95" s="50">
        <v>11</v>
      </c>
      <c r="E95" s="50">
        <v>12</v>
      </c>
      <c r="F95" s="129"/>
      <c r="G95" s="129"/>
      <c r="H95" s="129"/>
      <c r="I95" s="129"/>
      <c r="J95" s="129"/>
      <c r="K95" s="129"/>
      <c r="L95" s="128"/>
    </row>
    <row r="96" spans="1:12">
      <c r="A96" s="80"/>
      <c r="B96" s="8">
        <f t="shared" si="1"/>
        <v>1505</v>
      </c>
      <c r="C96" s="50">
        <v>13</v>
      </c>
      <c r="D96" s="50">
        <v>14</v>
      </c>
      <c r="E96" s="50">
        <v>15</v>
      </c>
      <c r="F96" s="129"/>
      <c r="G96" s="129"/>
      <c r="H96" s="129"/>
      <c r="I96" s="129"/>
      <c r="J96" s="129"/>
      <c r="K96" s="129"/>
      <c r="L96" s="128"/>
    </row>
    <row r="97" spans="1:12">
      <c r="A97" s="80"/>
      <c r="B97" s="8">
        <f t="shared" si="1"/>
        <v>1506</v>
      </c>
      <c r="C97" s="50">
        <v>16</v>
      </c>
      <c r="D97" s="50">
        <v>17</v>
      </c>
      <c r="E97" s="50">
        <v>18</v>
      </c>
      <c r="F97" s="129"/>
      <c r="G97" s="129"/>
      <c r="H97" s="129"/>
      <c r="I97" s="129"/>
      <c r="J97" s="129"/>
      <c r="K97" s="129"/>
      <c r="L97" s="128"/>
    </row>
    <row r="98" spans="1:12">
      <c r="A98" s="80">
        <v>16</v>
      </c>
      <c r="B98" s="8">
        <f t="shared" si="1"/>
        <v>1601</v>
      </c>
      <c r="C98" s="50">
        <v>24</v>
      </c>
      <c r="D98" s="50">
        <v>25</v>
      </c>
      <c r="E98" s="50">
        <v>26</v>
      </c>
      <c r="F98" s="50">
        <v>42</v>
      </c>
      <c r="G98" s="50">
        <v>43</v>
      </c>
      <c r="H98" s="7"/>
      <c r="I98" s="50">
        <v>44</v>
      </c>
      <c r="J98" s="50">
        <v>45</v>
      </c>
      <c r="K98" s="50">
        <v>46</v>
      </c>
      <c r="L98" s="128"/>
    </row>
    <row r="99" spans="1:12">
      <c r="A99" s="80"/>
      <c r="B99" s="8">
        <f t="shared" si="1"/>
        <v>1602</v>
      </c>
      <c r="C99" s="50">
        <v>27</v>
      </c>
      <c r="D99" s="50">
        <v>28</v>
      </c>
      <c r="E99" s="50">
        <v>29</v>
      </c>
      <c r="F99" s="129"/>
      <c r="G99" s="129"/>
      <c r="H99" s="129"/>
      <c r="I99" s="129"/>
      <c r="J99" s="129"/>
      <c r="K99" s="129"/>
      <c r="L99" s="128"/>
    </row>
    <row r="100" spans="1:12">
      <c r="A100" s="80"/>
      <c r="B100" s="8">
        <f t="shared" si="1"/>
        <v>1603</v>
      </c>
      <c r="C100" s="50">
        <v>30</v>
      </c>
      <c r="D100" s="50">
        <v>31</v>
      </c>
      <c r="E100" s="50">
        <v>32</v>
      </c>
      <c r="F100" s="129"/>
      <c r="G100" s="129"/>
      <c r="H100" s="129"/>
      <c r="I100" s="129"/>
      <c r="J100" s="129"/>
      <c r="K100" s="129"/>
      <c r="L100" s="128"/>
    </row>
    <row r="101" spans="1:12">
      <c r="A101" s="80"/>
      <c r="B101" s="8">
        <f t="shared" si="1"/>
        <v>1604</v>
      </c>
      <c r="C101" s="50">
        <v>33</v>
      </c>
      <c r="D101" s="50">
        <v>34</v>
      </c>
      <c r="E101" s="50">
        <v>35</v>
      </c>
      <c r="F101" s="129"/>
      <c r="G101" s="129"/>
      <c r="H101" s="129"/>
      <c r="I101" s="129"/>
      <c r="J101" s="129"/>
      <c r="K101" s="129"/>
      <c r="L101" s="128"/>
    </row>
    <row r="102" spans="1:12">
      <c r="A102" s="80"/>
      <c r="B102" s="8">
        <f t="shared" si="1"/>
        <v>1605</v>
      </c>
      <c r="C102" s="50">
        <v>36</v>
      </c>
      <c r="D102" s="50">
        <v>37</v>
      </c>
      <c r="E102" s="50">
        <v>38</v>
      </c>
      <c r="F102" s="129"/>
      <c r="G102" s="129"/>
      <c r="H102" s="129"/>
      <c r="I102" s="129"/>
      <c r="J102" s="129"/>
      <c r="K102" s="129"/>
      <c r="L102" s="128"/>
    </row>
    <row r="103" spans="1:12">
      <c r="A103" s="80"/>
      <c r="B103" s="8">
        <f t="shared" si="1"/>
        <v>1606</v>
      </c>
      <c r="C103" s="50">
        <v>39</v>
      </c>
      <c r="D103" s="50">
        <v>40</v>
      </c>
      <c r="E103" s="50">
        <v>41</v>
      </c>
      <c r="F103" s="129"/>
      <c r="G103" s="129"/>
      <c r="H103" s="129"/>
      <c r="I103" s="129"/>
      <c r="J103" s="129"/>
      <c r="K103" s="129"/>
      <c r="L103" s="128"/>
    </row>
    <row r="104" spans="1:12">
      <c r="A104" s="80">
        <v>17</v>
      </c>
      <c r="B104" s="8">
        <f t="shared" si="1"/>
        <v>1701</v>
      </c>
      <c r="C104" s="50">
        <v>47</v>
      </c>
      <c r="D104" s="50">
        <v>48</v>
      </c>
      <c r="E104" s="50">
        <v>49</v>
      </c>
      <c r="F104" s="50">
        <v>65</v>
      </c>
      <c r="G104" s="50">
        <v>66</v>
      </c>
      <c r="H104" s="7"/>
      <c r="I104" s="50">
        <v>67</v>
      </c>
      <c r="J104" s="50">
        <v>68</v>
      </c>
      <c r="K104" s="50">
        <v>69</v>
      </c>
      <c r="L104" s="128"/>
    </row>
    <row r="105" spans="1:12">
      <c r="A105" s="80"/>
      <c r="B105" s="8">
        <f t="shared" si="1"/>
        <v>1702</v>
      </c>
      <c r="C105" s="50">
        <v>50</v>
      </c>
      <c r="D105" s="50">
        <v>51</v>
      </c>
      <c r="E105" s="50">
        <v>52</v>
      </c>
      <c r="F105" s="129"/>
      <c r="G105" s="129"/>
      <c r="H105" s="129"/>
      <c r="I105" s="129"/>
      <c r="J105" s="129"/>
      <c r="K105" s="129"/>
      <c r="L105" s="128"/>
    </row>
    <row r="106" spans="1:12">
      <c r="A106" s="80"/>
      <c r="B106" s="8">
        <f t="shared" si="1"/>
        <v>1703</v>
      </c>
      <c r="C106" s="50">
        <v>53</v>
      </c>
      <c r="D106" s="50">
        <v>54</v>
      </c>
      <c r="E106" s="50">
        <v>55</v>
      </c>
      <c r="F106" s="129"/>
      <c r="G106" s="129"/>
      <c r="H106" s="129"/>
      <c r="I106" s="129"/>
      <c r="J106" s="129"/>
      <c r="K106" s="129"/>
      <c r="L106" s="128"/>
    </row>
    <row r="107" spans="1:12">
      <c r="A107" s="80"/>
      <c r="B107" s="8">
        <f t="shared" si="1"/>
        <v>1704</v>
      </c>
      <c r="C107" s="50">
        <v>56</v>
      </c>
      <c r="D107" s="50">
        <v>57</v>
      </c>
      <c r="E107" s="50">
        <v>58</v>
      </c>
      <c r="F107" s="129"/>
      <c r="G107" s="129"/>
      <c r="H107" s="129"/>
      <c r="I107" s="129"/>
      <c r="J107" s="129"/>
      <c r="K107" s="129"/>
      <c r="L107" s="128"/>
    </row>
    <row r="108" spans="1:12">
      <c r="A108" s="80"/>
      <c r="B108" s="8">
        <f t="shared" si="1"/>
        <v>1705</v>
      </c>
      <c r="C108" s="50">
        <v>59</v>
      </c>
      <c r="D108" s="50">
        <v>60</v>
      </c>
      <c r="E108" s="50">
        <v>61</v>
      </c>
      <c r="F108" s="129"/>
      <c r="G108" s="129"/>
      <c r="H108" s="129"/>
      <c r="I108" s="129"/>
      <c r="J108" s="129"/>
      <c r="K108" s="129"/>
      <c r="L108" s="128"/>
    </row>
    <row r="109" spans="1:12">
      <c r="A109" s="80"/>
      <c r="B109" s="8">
        <f t="shared" si="1"/>
        <v>1706</v>
      </c>
      <c r="C109" s="50">
        <v>62</v>
      </c>
      <c r="D109" s="50">
        <v>63</v>
      </c>
      <c r="E109" s="50">
        <v>64</v>
      </c>
      <c r="F109" s="129"/>
      <c r="G109" s="129"/>
      <c r="H109" s="129"/>
      <c r="I109" s="129"/>
      <c r="J109" s="129"/>
      <c r="K109" s="129"/>
      <c r="L109" s="128"/>
    </row>
    <row r="110" spans="1:12">
      <c r="A110" s="129">
        <v>18</v>
      </c>
      <c r="B110" s="8">
        <f t="shared" si="1"/>
        <v>1801</v>
      </c>
      <c r="C110" s="50">
        <v>1</v>
      </c>
      <c r="D110" s="50">
        <v>2</v>
      </c>
      <c r="E110" s="50">
        <v>3</v>
      </c>
      <c r="F110" s="50">
        <v>19</v>
      </c>
      <c r="G110" s="50">
        <v>20</v>
      </c>
      <c r="H110" s="7"/>
      <c r="I110" s="50">
        <v>21</v>
      </c>
      <c r="J110" s="50">
        <v>22</v>
      </c>
      <c r="K110" s="50">
        <v>23</v>
      </c>
      <c r="L110" s="128" t="s">
        <v>21</v>
      </c>
    </row>
    <row r="111" spans="1:12">
      <c r="A111" s="129"/>
      <c r="B111" s="8">
        <f t="shared" si="1"/>
        <v>1802</v>
      </c>
      <c r="C111" s="50">
        <v>4</v>
      </c>
      <c r="D111" s="50">
        <v>5</v>
      </c>
      <c r="E111" s="50">
        <v>6</v>
      </c>
      <c r="F111" s="129"/>
      <c r="G111" s="129"/>
      <c r="H111" s="129"/>
      <c r="I111" s="129"/>
      <c r="J111" s="129"/>
      <c r="K111" s="129"/>
      <c r="L111" s="128"/>
    </row>
    <row r="112" spans="1:12">
      <c r="A112" s="129"/>
      <c r="B112" s="8">
        <f t="shared" si="1"/>
        <v>1803</v>
      </c>
      <c r="C112" s="50">
        <v>7</v>
      </c>
      <c r="D112" s="50">
        <v>8</v>
      </c>
      <c r="E112" s="50">
        <v>9</v>
      </c>
      <c r="F112" s="129"/>
      <c r="G112" s="129"/>
      <c r="H112" s="129"/>
      <c r="I112" s="129"/>
      <c r="J112" s="129"/>
      <c r="K112" s="129"/>
      <c r="L112" s="128"/>
    </row>
    <row r="113" spans="1:12">
      <c r="A113" s="129"/>
      <c r="B113" s="8">
        <f t="shared" si="1"/>
        <v>1804</v>
      </c>
      <c r="C113" s="50">
        <v>10</v>
      </c>
      <c r="D113" s="50">
        <v>11</v>
      </c>
      <c r="E113" s="50">
        <v>12</v>
      </c>
      <c r="F113" s="129"/>
      <c r="G113" s="129"/>
      <c r="H113" s="129"/>
      <c r="I113" s="129"/>
      <c r="J113" s="129"/>
      <c r="K113" s="129"/>
      <c r="L113" s="128"/>
    </row>
    <row r="114" spans="1:12">
      <c r="A114" s="129"/>
      <c r="B114" s="8">
        <f t="shared" si="1"/>
        <v>1805</v>
      </c>
      <c r="C114" s="50">
        <v>13</v>
      </c>
      <c r="D114" s="50">
        <v>14</v>
      </c>
      <c r="E114" s="50">
        <v>15</v>
      </c>
      <c r="F114" s="129"/>
      <c r="G114" s="129"/>
      <c r="H114" s="129"/>
      <c r="I114" s="129"/>
      <c r="J114" s="129"/>
      <c r="K114" s="129"/>
      <c r="L114" s="128"/>
    </row>
    <row r="115" spans="1:12">
      <c r="A115" s="129"/>
      <c r="B115" s="8">
        <f t="shared" si="1"/>
        <v>1806</v>
      </c>
      <c r="C115" s="50">
        <v>16</v>
      </c>
      <c r="D115" s="50">
        <v>17</v>
      </c>
      <c r="E115" s="50">
        <v>18</v>
      </c>
      <c r="F115" s="129"/>
      <c r="G115" s="129"/>
      <c r="H115" s="129"/>
      <c r="I115" s="129"/>
      <c r="J115" s="129"/>
      <c r="K115" s="129"/>
      <c r="L115" s="128"/>
    </row>
    <row r="116" spans="1:12">
      <c r="A116" s="129">
        <v>19</v>
      </c>
      <c r="B116" s="8">
        <f t="shared" si="1"/>
        <v>1901</v>
      </c>
      <c r="C116" s="50">
        <v>24</v>
      </c>
      <c r="D116" s="50">
        <v>25</v>
      </c>
      <c r="E116" s="50">
        <v>26</v>
      </c>
      <c r="F116" s="50">
        <v>42</v>
      </c>
      <c r="G116" s="50">
        <v>43</v>
      </c>
      <c r="H116" s="7"/>
      <c r="I116" s="50">
        <v>44</v>
      </c>
      <c r="J116" s="50">
        <v>45</v>
      </c>
      <c r="K116" s="50">
        <v>46</v>
      </c>
      <c r="L116" s="128"/>
    </row>
    <row r="117" spans="1:12">
      <c r="A117" s="129"/>
      <c r="B117" s="8">
        <f t="shared" si="1"/>
        <v>1902</v>
      </c>
      <c r="C117" s="50">
        <v>27</v>
      </c>
      <c r="D117" s="50">
        <v>28</v>
      </c>
      <c r="E117" s="50">
        <v>29</v>
      </c>
      <c r="F117" s="129"/>
      <c r="G117" s="129"/>
      <c r="H117" s="129"/>
      <c r="I117" s="129"/>
      <c r="J117" s="129"/>
      <c r="K117" s="129"/>
      <c r="L117" s="128"/>
    </row>
    <row r="118" spans="1:12">
      <c r="A118" s="129"/>
      <c r="B118" s="8">
        <f t="shared" si="1"/>
        <v>1903</v>
      </c>
      <c r="C118" s="50">
        <v>30</v>
      </c>
      <c r="D118" s="50">
        <v>31</v>
      </c>
      <c r="E118" s="50">
        <v>32</v>
      </c>
      <c r="F118" s="129"/>
      <c r="G118" s="129"/>
      <c r="H118" s="129"/>
      <c r="I118" s="129"/>
      <c r="J118" s="129"/>
      <c r="K118" s="129"/>
      <c r="L118" s="128"/>
    </row>
    <row r="119" spans="1:12">
      <c r="A119" s="129"/>
      <c r="B119" s="8">
        <f t="shared" si="1"/>
        <v>1904</v>
      </c>
      <c r="C119" s="50">
        <v>33</v>
      </c>
      <c r="D119" s="50">
        <v>34</v>
      </c>
      <c r="E119" s="50">
        <v>35</v>
      </c>
      <c r="F119" s="129"/>
      <c r="G119" s="129"/>
      <c r="H119" s="129"/>
      <c r="I119" s="129"/>
      <c r="J119" s="129"/>
      <c r="K119" s="129"/>
      <c r="L119" s="128"/>
    </row>
    <row r="120" spans="1:12">
      <c r="A120" s="129"/>
      <c r="B120" s="8">
        <f t="shared" si="1"/>
        <v>1905</v>
      </c>
      <c r="C120" s="50">
        <v>36</v>
      </c>
      <c r="D120" s="50">
        <v>37</v>
      </c>
      <c r="E120" s="50">
        <v>38</v>
      </c>
      <c r="F120" s="129"/>
      <c r="G120" s="129"/>
      <c r="H120" s="129"/>
      <c r="I120" s="129"/>
      <c r="J120" s="129"/>
      <c r="K120" s="129"/>
      <c r="L120" s="128"/>
    </row>
    <row r="121" spans="1:12">
      <c r="A121" s="129"/>
      <c r="B121" s="8">
        <f t="shared" si="1"/>
        <v>1906</v>
      </c>
      <c r="C121" s="50">
        <v>39</v>
      </c>
      <c r="D121" s="50">
        <v>40</v>
      </c>
      <c r="E121" s="50">
        <v>41</v>
      </c>
      <c r="F121" s="129"/>
      <c r="G121" s="129"/>
      <c r="H121" s="129"/>
      <c r="I121" s="129"/>
      <c r="J121" s="129"/>
      <c r="K121" s="129"/>
      <c r="L121" s="128"/>
    </row>
    <row r="122" spans="1:12">
      <c r="A122" s="129">
        <v>20</v>
      </c>
      <c r="B122" s="8">
        <f t="shared" si="1"/>
        <v>2001</v>
      </c>
      <c r="C122" s="50">
        <v>47</v>
      </c>
      <c r="D122" s="50">
        <v>48</v>
      </c>
      <c r="E122" s="50">
        <v>49</v>
      </c>
      <c r="F122" s="50">
        <v>65</v>
      </c>
      <c r="G122" s="50">
        <v>66</v>
      </c>
      <c r="H122" s="7"/>
      <c r="I122" s="50">
        <v>67</v>
      </c>
      <c r="J122" s="50">
        <v>68</v>
      </c>
      <c r="K122" s="50">
        <v>69</v>
      </c>
      <c r="L122" s="128"/>
    </row>
    <row r="123" spans="1:12">
      <c r="A123" s="129"/>
      <c r="B123" s="8">
        <f t="shared" si="1"/>
        <v>2002</v>
      </c>
      <c r="C123" s="50">
        <v>50</v>
      </c>
      <c r="D123" s="50">
        <v>51</v>
      </c>
      <c r="E123" s="50">
        <v>52</v>
      </c>
      <c r="F123" s="129"/>
      <c r="G123" s="129"/>
      <c r="H123" s="129"/>
      <c r="I123" s="129"/>
      <c r="J123" s="129"/>
      <c r="K123" s="129"/>
      <c r="L123" s="128"/>
    </row>
    <row r="124" spans="1:12">
      <c r="A124" s="129"/>
      <c r="B124" s="8">
        <f t="shared" si="1"/>
        <v>2003</v>
      </c>
      <c r="C124" s="50">
        <v>53</v>
      </c>
      <c r="D124" s="50">
        <v>54</v>
      </c>
      <c r="E124" s="50">
        <v>55</v>
      </c>
      <c r="F124" s="129"/>
      <c r="G124" s="129"/>
      <c r="H124" s="129"/>
      <c r="I124" s="129"/>
      <c r="J124" s="129"/>
      <c r="K124" s="129"/>
      <c r="L124" s="128"/>
    </row>
    <row r="125" spans="1:12">
      <c r="A125" s="129"/>
      <c r="B125" s="8">
        <f t="shared" si="1"/>
        <v>2004</v>
      </c>
      <c r="C125" s="50">
        <v>56</v>
      </c>
      <c r="D125" s="50">
        <v>57</v>
      </c>
      <c r="E125" s="50">
        <v>58</v>
      </c>
      <c r="F125" s="129"/>
      <c r="G125" s="129"/>
      <c r="H125" s="129"/>
      <c r="I125" s="129"/>
      <c r="J125" s="129"/>
      <c r="K125" s="129"/>
      <c r="L125" s="128"/>
    </row>
    <row r="126" spans="1:12">
      <c r="A126" s="129"/>
      <c r="B126" s="8">
        <f t="shared" si="1"/>
        <v>2005</v>
      </c>
      <c r="C126" s="50">
        <v>59</v>
      </c>
      <c r="D126" s="50">
        <v>60</v>
      </c>
      <c r="E126" s="50">
        <v>61</v>
      </c>
      <c r="F126" s="129"/>
      <c r="G126" s="129"/>
      <c r="H126" s="129"/>
      <c r="I126" s="129"/>
      <c r="J126" s="129"/>
      <c r="K126" s="129"/>
      <c r="L126" s="128"/>
    </row>
    <row r="127" spans="1:12">
      <c r="A127" s="129"/>
      <c r="B127" s="8">
        <f t="shared" si="1"/>
        <v>2006</v>
      </c>
      <c r="C127" s="50">
        <v>62</v>
      </c>
      <c r="D127" s="50">
        <v>63</v>
      </c>
      <c r="E127" s="50">
        <v>64</v>
      </c>
      <c r="F127" s="129"/>
      <c r="G127" s="129"/>
      <c r="H127" s="129"/>
      <c r="I127" s="129"/>
      <c r="J127" s="129"/>
      <c r="K127" s="129"/>
      <c r="L127" s="128"/>
    </row>
    <row r="128" spans="1:12">
      <c r="A128" s="129">
        <v>21</v>
      </c>
      <c r="B128" s="8">
        <f t="shared" si="1"/>
        <v>2101</v>
      </c>
      <c r="C128" s="50">
        <v>1</v>
      </c>
      <c r="D128" s="50">
        <v>2</v>
      </c>
      <c r="E128" s="50">
        <v>3</v>
      </c>
      <c r="F128" s="50">
        <v>19</v>
      </c>
      <c r="G128" s="50">
        <v>20</v>
      </c>
      <c r="H128" s="7"/>
      <c r="I128" s="50">
        <v>21</v>
      </c>
      <c r="J128" s="50">
        <v>22</v>
      </c>
      <c r="K128" s="50">
        <v>23</v>
      </c>
      <c r="L128" s="128" t="s">
        <v>22</v>
      </c>
    </row>
    <row r="129" spans="1:12">
      <c r="A129" s="129"/>
      <c r="B129" s="8">
        <f t="shared" si="1"/>
        <v>2102</v>
      </c>
      <c r="C129" s="50">
        <v>4</v>
      </c>
      <c r="D129" s="50">
        <v>5</v>
      </c>
      <c r="E129" s="50">
        <v>6</v>
      </c>
      <c r="F129" s="129"/>
      <c r="G129" s="129"/>
      <c r="H129" s="129"/>
      <c r="I129" s="129"/>
      <c r="J129" s="129"/>
      <c r="K129" s="129"/>
      <c r="L129" s="128"/>
    </row>
    <row r="130" spans="1:12">
      <c r="A130" s="129"/>
      <c r="B130" s="8">
        <f t="shared" si="1"/>
        <v>2103</v>
      </c>
      <c r="C130" s="50">
        <v>7</v>
      </c>
      <c r="D130" s="50">
        <v>8</v>
      </c>
      <c r="E130" s="50">
        <v>9</v>
      </c>
      <c r="F130" s="129"/>
      <c r="G130" s="129"/>
      <c r="H130" s="129"/>
      <c r="I130" s="129"/>
      <c r="J130" s="129"/>
      <c r="K130" s="129"/>
      <c r="L130" s="128"/>
    </row>
    <row r="131" spans="1:12">
      <c r="A131" s="129"/>
      <c r="B131" s="8">
        <f t="shared" si="1"/>
        <v>2104</v>
      </c>
      <c r="C131" s="50">
        <v>10</v>
      </c>
      <c r="D131" s="50">
        <v>11</v>
      </c>
      <c r="E131" s="50">
        <v>12</v>
      </c>
      <c r="F131" s="129"/>
      <c r="G131" s="129"/>
      <c r="H131" s="129"/>
      <c r="I131" s="129"/>
      <c r="J131" s="129"/>
      <c r="K131" s="129"/>
      <c r="L131" s="128"/>
    </row>
    <row r="132" spans="1:12">
      <c r="A132" s="129"/>
      <c r="B132" s="8">
        <f t="shared" si="1"/>
        <v>2105</v>
      </c>
      <c r="C132" s="50">
        <v>13</v>
      </c>
      <c r="D132" s="50">
        <v>14</v>
      </c>
      <c r="E132" s="50">
        <v>15</v>
      </c>
      <c r="F132" s="129"/>
      <c r="G132" s="129"/>
      <c r="H132" s="129"/>
      <c r="I132" s="129"/>
      <c r="J132" s="129"/>
      <c r="K132" s="129"/>
      <c r="L132" s="128"/>
    </row>
    <row r="133" spans="1:12">
      <c r="A133" s="129"/>
      <c r="B133" s="8">
        <f t="shared" si="1"/>
        <v>2106</v>
      </c>
      <c r="C133" s="50">
        <v>16</v>
      </c>
      <c r="D133" s="50">
        <v>17</v>
      </c>
      <c r="E133" s="50">
        <v>18</v>
      </c>
      <c r="F133" s="129"/>
      <c r="G133" s="129"/>
      <c r="H133" s="129"/>
      <c r="I133" s="129"/>
      <c r="J133" s="129"/>
      <c r="K133" s="129"/>
      <c r="L133" s="128"/>
    </row>
    <row r="134" spans="1:12">
      <c r="A134" s="129">
        <v>22</v>
      </c>
      <c r="B134" s="8">
        <f t="shared" si="1"/>
        <v>2201</v>
      </c>
      <c r="C134" s="50">
        <v>24</v>
      </c>
      <c r="D134" s="50">
        <v>25</v>
      </c>
      <c r="E134" s="50">
        <v>26</v>
      </c>
      <c r="F134" s="50">
        <v>42</v>
      </c>
      <c r="G134" s="50">
        <v>43</v>
      </c>
      <c r="H134" s="7"/>
      <c r="I134" s="50">
        <v>44</v>
      </c>
      <c r="J134" s="50">
        <v>45</v>
      </c>
      <c r="K134" s="50">
        <v>46</v>
      </c>
      <c r="L134" s="128"/>
    </row>
    <row r="135" spans="1:12">
      <c r="A135" s="129"/>
      <c r="B135" s="8">
        <f t="shared" si="1"/>
        <v>2202</v>
      </c>
      <c r="C135" s="50">
        <v>27</v>
      </c>
      <c r="D135" s="50">
        <v>28</v>
      </c>
      <c r="E135" s="50">
        <v>29</v>
      </c>
      <c r="F135" s="129"/>
      <c r="G135" s="129"/>
      <c r="H135" s="129"/>
      <c r="I135" s="129"/>
      <c r="J135" s="129"/>
      <c r="K135" s="129"/>
      <c r="L135" s="128"/>
    </row>
    <row r="136" spans="1:12">
      <c r="A136" s="129"/>
      <c r="B136" s="8">
        <f t="shared" si="1"/>
        <v>2203</v>
      </c>
      <c r="C136" s="50">
        <v>30</v>
      </c>
      <c r="D136" s="50">
        <v>31</v>
      </c>
      <c r="E136" s="67">
        <v>32</v>
      </c>
      <c r="F136" s="129"/>
      <c r="G136" s="129"/>
      <c r="H136" s="129"/>
      <c r="I136" s="129"/>
      <c r="J136" s="129"/>
      <c r="K136" s="129"/>
      <c r="L136" s="128"/>
    </row>
    <row r="137" spans="1:12">
      <c r="A137" s="129"/>
      <c r="B137" s="8">
        <f t="shared" ref="B137:B145" si="2">(INT((ROW()-8)/6)+1)*100 + MOD(ROW()-8,6)+1</f>
        <v>2204</v>
      </c>
      <c r="C137" s="50">
        <v>33</v>
      </c>
      <c r="D137" s="50">
        <v>34</v>
      </c>
      <c r="E137" s="50">
        <v>35</v>
      </c>
      <c r="F137" s="129"/>
      <c r="G137" s="129"/>
      <c r="H137" s="129"/>
      <c r="I137" s="129"/>
      <c r="J137" s="129"/>
      <c r="K137" s="129"/>
      <c r="L137" s="128"/>
    </row>
    <row r="138" spans="1:12">
      <c r="A138" s="129"/>
      <c r="B138" s="8">
        <f t="shared" si="2"/>
        <v>2205</v>
      </c>
      <c r="C138" s="50">
        <v>36</v>
      </c>
      <c r="D138" s="50">
        <v>37</v>
      </c>
      <c r="E138" s="50">
        <v>38</v>
      </c>
      <c r="F138" s="129"/>
      <c r="G138" s="129"/>
      <c r="H138" s="129"/>
      <c r="I138" s="129"/>
      <c r="J138" s="129"/>
      <c r="K138" s="129"/>
      <c r="L138" s="128"/>
    </row>
    <row r="139" spans="1:12">
      <c r="A139" s="129"/>
      <c r="B139" s="8">
        <f t="shared" si="2"/>
        <v>2206</v>
      </c>
      <c r="C139" s="50">
        <v>39</v>
      </c>
      <c r="D139" s="50">
        <v>40</v>
      </c>
      <c r="E139" s="50">
        <v>41</v>
      </c>
      <c r="F139" s="129"/>
      <c r="G139" s="129"/>
      <c r="H139" s="129"/>
      <c r="I139" s="129"/>
      <c r="J139" s="129"/>
      <c r="K139" s="129"/>
      <c r="L139" s="128"/>
    </row>
    <row r="140" spans="1:12">
      <c r="A140" s="129">
        <v>23</v>
      </c>
      <c r="B140" s="8">
        <f t="shared" si="2"/>
        <v>2301</v>
      </c>
      <c r="C140" s="50">
        <v>47</v>
      </c>
      <c r="D140" s="50">
        <v>48</v>
      </c>
      <c r="E140" s="50">
        <v>49</v>
      </c>
      <c r="F140" s="50">
        <v>65</v>
      </c>
      <c r="G140" s="50">
        <v>66</v>
      </c>
      <c r="H140" s="7"/>
      <c r="I140" s="50">
        <v>67</v>
      </c>
      <c r="J140" s="50">
        <v>68</v>
      </c>
      <c r="K140" s="50">
        <v>69</v>
      </c>
      <c r="L140" s="128"/>
    </row>
    <row r="141" spans="1:12">
      <c r="A141" s="129"/>
      <c r="B141" s="8">
        <f t="shared" si="2"/>
        <v>2302</v>
      </c>
      <c r="C141" s="50">
        <v>50</v>
      </c>
      <c r="D141" s="50">
        <v>51</v>
      </c>
      <c r="E141" s="50">
        <v>52</v>
      </c>
      <c r="F141" s="129"/>
      <c r="G141" s="129"/>
      <c r="H141" s="129"/>
      <c r="I141" s="129"/>
      <c r="J141" s="129"/>
      <c r="K141" s="129"/>
      <c r="L141" s="128"/>
    </row>
    <row r="142" spans="1:12">
      <c r="A142" s="129"/>
      <c r="B142" s="8">
        <f t="shared" si="2"/>
        <v>2303</v>
      </c>
      <c r="C142" s="66">
        <v>53</v>
      </c>
      <c r="D142" s="50">
        <v>54</v>
      </c>
      <c r="E142" s="50">
        <v>55</v>
      </c>
      <c r="F142" s="129"/>
      <c r="G142" s="129"/>
      <c r="H142" s="129"/>
      <c r="I142" s="129"/>
      <c r="J142" s="129"/>
      <c r="K142" s="129"/>
      <c r="L142" s="128"/>
    </row>
    <row r="143" spans="1:12">
      <c r="A143" s="129"/>
      <c r="B143" s="8">
        <f t="shared" si="2"/>
        <v>2304</v>
      </c>
      <c r="C143" s="50">
        <v>56</v>
      </c>
      <c r="D143" s="50">
        <v>57</v>
      </c>
      <c r="E143" s="50">
        <v>58</v>
      </c>
      <c r="F143" s="129"/>
      <c r="G143" s="129"/>
      <c r="H143" s="129"/>
      <c r="I143" s="129"/>
      <c r="J143" s="129"/>
      <c r="K143" s="129"/>
      <c r="L143" s="128"/>
    </row>
    <row r="144" spans="1:12">
      <c r="A144" s="129"/>
      <c r="B144" s="8">
        <f t="shared" si="2"/>
        <v>2305</v>
      </c>
      <c r="C144" s="50">
        <v>59</v>
      </c>
      <c r="D144" s="50">
        <v>60</v>
      </c>
      <c r="E144" s="50">
        <v>61</v>
      </c>
      <c r="F144" s="129"/>
      <c r="G144" s="129"/>
      <c r="H144" s="129"/>
      <c r="I144" s="129"/>
      <c r="J144" s="129"/>
      <c r="K144" s="129"/>
      <c r="L144" s="128"/>
    </row>
    <row r="145" spans="1:12">
      <c r="A145" s="129"/>
      <c r="B145" s="8">
        <f t="shared" si="2"/>
        <v>2306</v>
      </c>
      <c r="C145" s="50">
        <v>62</v>
      </c>
      <c r="D145" s="50">
        <v>63</v>
      </c>
      <c r="E145" s="50">
        <v>64</v>
      </c>
      <c r="F145" s="129"/>
      <c r="G145" s="129"/>
      <c r="H145" s="129"/>
      <c r="I145" s="129"/>
      <c r="J145" s="129"/>
      <c r="K145" s="129"/>
      <c r="L145" s="128"/>
    </row>
  </sheetData>
  <mergeCells count="79">
    <mergeCell ref="A1:L1"/>
    <mergeCell ref="A2:A3"/>
    <mergeCell ref="B2:B3"/>
    <mergeCell ref="C2:E3"/>
    <mergeCell ref="F2:F3"/>
    <mergeCell ref="G2:G3"/>
    <mergeCell ref="H2:H3"/>
    <mergeCell ref="I2:I3"/>
    <mergeCell ref="J2:J3"/>
    <mergeCell ref="K2:K3"/>
    <mergeCell ref="L2:L3"/>
    <mergeCell ref="O3:P3"/>
    <mergeCell ref="A8:A13"/>
    <mergeCell ref="N4:N7"/>
    <mergeCell ref="F9:K13"/>
    <mergeCell ref="A20:A25"/>
    <mergeCell ref="A4:A7"/>
    <mergeCell ref="B4:B7"/>
    <mergeCell ref="A26:A31"/>
    <mergeCell ref="S24:S27"/>
    <mergeCell ref="F21:K25"/>
    <mergeCell ref="F27:K31"/>
    <mergeCell ref="A14:A19"/>
    <mergeCell ref="F15:K19"/>
    <mergeCell ref="L4:L19"/>
    <mergeCell ref="E7:K7"/>
    <mergeCell ref="I5:K6"/>
    <mergeCell ref="S4:S7"/>
    <mergeCell ref="S9:S12"/>
    <mergeCell ref="S29:S32"/>
    <mergeCell ref="A50:A55"/>
    <mergeCell ref="A56:A61"/>
    <mergeCell ref="A62:A67"/>
    <mergeCell ref="A32:A37"/>
    <mergeCell ref="A38:A43"/>
    <mergeCell ref="A44:A49"/>
    <mergeCell ref="A86:A91"/>
    <mergeCell ref="A92:A97"/>
    <mergeCell ref="A98:A103"/>
    <mergeCell ref="A68:A73"/>
    <mergeCell ref="A74:A79"/>
    <mergeCell ref="A80:A85"/>
    <mergeCell ref="A140:A145"/>
    <mergeCell ref="A122:A127"/>
    <mergeCell ref="A128:A133"/>
    <mergeCell ref="A134:A139"/>
    <mergeCell ref="A104:A109"/>
    <mergeCell ref="A110:A115"/>
    <mergeCell ref="A116:A121"/>
    <mergeCell ref="F33:K37"/>
    <mergeCell ref="L20:L37"/>
    <mergeCell ref="F39:K43"/>
    <mergeCell ref="F45:K49"/>
    <mergeCell ref="F51:K55"/>
    <mergeCell ref="L38:L55"/>
    <mergeCell ref="F57:K61"/>
    <mergeCell ref="F63:K67"/>
    <mergeCell ref="F69:K73"/>
    <mergeCell ref="L56:L73"/>
    <mergeCell ref="L74:L91"/>
    <mergeCell ref="F75:K79"/>
    <mergeCell ref="F81:K85"/>
    <mergeCell ref="F87:K91"/>
    <mergeCell ref="F129:K133"/>
    <mergeCell ref="F135:K139"/>
    <mergeCell ref="F141:K145"/>
    <mergeCell ref="L128:L145"/>
    <mergeCell ref="F93:K97"/>
    <mergeCell ref="F99:K103"/>
    <mergeCell ref="F105:K109"/>
    <mergeCell ref="F111:K115"/>
    <mergeCell ref="F117:K121"/>
    <mergeCell ref="F123:K127"/>
    <mergeCell ref="S34:S37"/>
    <mergeCell ref="S39:S42"/>
    <mergeCell ref="S14:S17"/>
    <mergeCell ref="L92:L109"/>
    <mergeCell ref="L110:L127"/>
    <mergeCell ref="S19:S2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CE74B-175E-4203-8863-CED165D9E9F1}">
  <dimension ref="A1:V110"/>
  <sheetViews>
    <sheetView topLeftCell="G1" workbookViewId="0">
      <selection activeCell="N8" sqref="N8"/>
    </sheetView>
  </sheetViews>
  <sheetFormatPr defaultRowHeight="15"/>
  <cols>
    <col min="14" max="14" width="9.7109375" bestFit="1" customWidth="1"/>
  </cols>
  <sheetData>
    <row r="1" spans="1:22">
      <c r="A1" s="77">
        <v>208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</row>
    <row r="2" spans="1:22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</row>
    <row r="3" spans="1:22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</row>
    <row r="4" spans="1:22">
      <c r="A4" s="98" t="s">
        <v>26</v>
      </c>
      <c r="B4" s="122" t="s">
        <v>28</v>
      </c>
      <c r="C4" s="31">
        <v>69</v>
      </c>
      <c r="D4" s="31">
        <v>70</v>
      </c>
      <c r="E4" s="31">
        <v>71</v>
      </c>
      <c r="F4" s="31">
        <v>72</v>
      </c>
      <c r="G4" s="68">
        <v>73</v>
      </c>
      <c r="H4" s="68">
        <v>76</v>
      </c>
      <c r="I4" s="95"/>
      <c r="J4" s="96"/>
      <c r="K4" s="97"/>
      <c r="L4" s="100" t="s">
        <v>9</v>
      </c>
      <c r="M4" s="2"/>
      <c r="N4" s="92">
        <v>46000</v>
      </c>
      <c r="O4" s="12" t="s">
        <v>10</v>
      </c>
      <c r="P4" s="13">
        <f>SUM(P5:P7)</f>
        <v>548</v>
      </c>
      <c r="Q4" s="73">
        <v>1</v>
      </c>
      <c r="S4" s="92" t="s">
        <v>9</v>
      </c>
      <c r="T4" s="12" t="s">
        <v>10</v>
      </c>
      <c r="U4" s="13">
        <f>SUM(U5:U7)</f>
        <v>80</v>
      </c>
      <c r="V4" s="73">
        <v>1</v>
      </c>
    </row>
    <row r="5" spans="1:22">
      <c r="A5" s="106"/>
      <c r="B5" s="134"/>
      <c r="C5" s="31">
        <v>78</v>
      </c>
      <c r="D5" s="31">
        <v>79</v>
      </c>
      <c r="E5" s="31">
        <v>80</v>
      </c>
      <c r="F5" s="31">
        <v>81</v>
      </c>
      <c r="G5" s="135"/>
      <c r="H5" s="136"/>
      <c r="I5" s="136"/>
      <c r="J5" s="136"/>
      <c r="K5" s="137"/>
      <c r="L5" s="101"/>
      <c r="M5" s="2"/>
      <c r="N5" s="93"/>
      <c r="O5" s="14" t="s">
        <v>11</v>
      </c>
      <c r="P5" s="13" cm="1">
        <f t="array" ref="P5">CountByColor(C4:K110, O5)</f>
        <v>1</v>
      </c>
      <c r="Q5" s="74">
        <v>1.8E-3</v>
      </c>
      <c r="S5" s="93"/>
      <c r="T5" s="14" t="s">
        <v>11</v>
      </c>
      <c r="U5" s="13" cm="1">
        <f t="array" ref="U5">CountByColor(C4:K19, T5)</f>
        <v>1</v>
      </c>
      <c r="V5" s="74">
        <v>1.2500000000000001E-2</v>
      </c>
    </row>
    <row r="6" spans="1:22">
      <c r="A6" s="106"/>
      <c r="B6" s="134"/>
      <c r="C6" s="31">
        <v>82</v>
      </c>
      <c r="D6" s="31">
        <v>83</v>
      </c>
      <c r="E6" s="31">
        <v>84</v>
      </c>
      <c r="F6" s="31">
        <v>87</v>
      </c>
      <c r="G6" s="138"/>
      <c r="H6" s="139"/>
      <c r="I6" s="139"/>
      <c r="J6" s="139"/>
      <c r="K6" s="140"/>
      <c r="L6" s="101"/>
      <c r="M6" s="2"/>
      <c r="N6" s="93"/>
      <c r="O6" s="15" t="s">
        <v>12</v>
      </c>
      <c r="P6" s="13" cm="1">
        <f t="array" ref="P6">CountByColor(C4:K110, O6)</f>
        <v>1</v>
      </c>
      <c r="Q6" s="74">
        <v>1.8E-3</v>
      </c>
      <c r="S6" s="93"/>
      <c r="T6" s="15" t="s">
        <v>12</v>
      </c>
      <c r="U6" s="13" cm="1">
        <f t="array" ref="U6">CountByColor(C4:K19, T6)</f>
        <v>1</v>
      </c>
      <c r="V6" s="74">
        <v>1.2500000000000001E-2</v>
      </c>
    </row>
    <row r="7" spans="1:22">
      <c r="A7" s="99"/>
      <c r="B7" s="123"/>
      <c r="C7" s="31">
        <v>88</v>
      </c>
      <c r="D7" s="31">
        <v>89</v>
      </c>
      <c r="E7" s="31">
        <v>90</v>
      </c>
      <c r="F7" s="62"/>
      <c r="G7" s="141"/>
      <c r="H7" s="142"/>
      <c r="I7" s="142"/>
      <c r="J7" s="142"/>
      <c r="K7" s="143"/>
      <c r="L7" s="101"/>
      <c r="M7" s="2"/>
      <c r="N7" s="94"/>
      <c r="O7" s="16" t="s">
        <v>13</v>
      </c>
      <c r="P7" s="13" cm="1">
        <f t="array" ref="P7">CountByColor(C4:K110, O7)</f>
        <v>546</v>
      </c>
      <c r="Q7" s="74">
        <v>0.99639999999999995</v>
      </c>
      <c r="S7" s="94"/>
      <c r="T7" s="16" t="s">
        <v>13</v>
      </c>
      <c r="U7" s="13" cm="1">
        <f t="array" ref="U7">CountByColor(C4:K19, T7)</f>
        <v>78</v>
      </c>
      <c r="V7" s="74">
        <v>0.97499999999999998</v>
      </c>
    </row>
    <row r="8" spans="1:22">
      <c r="A8" s="98">
        <v>1</v>
      </c>
      <c r="B8" s="8">
        <f>(INT((ROW()-8)/4)+1)*100 + MOD(ROW()-8,4)+1</f>
        <v>101</v>
      </c>
      <c r="C8" s="9">
        <v>1</v>
      </c>
      <c r="D8" s="9">
        <v>2</v>
      </c>
      <c r="E8" s="9">
        <v>3</v>
      </c>
      <c r="F8" s="9">
        <v>4</v>
      </c>
      <c r="G8" s="9">
        <v>17</v>
      </c>
      <c r="H8" s="10">
        <v>18</v>
      </c>
      <c r="I8" s="9">
        <v>19</v>
      </c>
      <c r="J8" s="9">
        <v>20</v>
      </c>
      <c r="K8" s="9">
        <v>21</v>
      </c>
      <c r="L8" s="101"/>
      <c r="N8" s="21"/>
      <c r="T8" s="1"/>
      <c r="U8" s="1"/>
    </row>
    <row r="9" spans="1:22">
      <c r="A9" s="106"/>
      <c r="B9" s="8">
        <f t="shared" ref="B9:B72" si="0">(INT((ROW()-8)/4)+1)*100 + MOD(ROW()-8,4)+1</f>
        <v>102</v>
      </c>
      <c r="C9" s="9">
        <v>5</v>
      </c>
      <c r="D9" s="9">
        <v>6</v>
      </c>
      <c r="E9" s="9">
        <v>7</v>
      </c>
      <c r="F9" s="9">
        <v>8</v>
      </c>
      <c r="G9" s="82"/>
      <c r="H9" s="83"/>
      <c r="I9" s="83"/>
      <c r="J9" s="83"/>
      <c r="K9" s="84"/>
      <c r="L9" s="101"/>
      <c r="S9" s="92" t="s">
        <v>14</v>
      </c>
      <c r="T9" s="12" t="s">
        <v>10</v>
      </c>
      <c r="U9" s="13">
        <f>SUM(U10:U12)</f>
        <v>84</v>
      </c>
      <c r="V9" s="73">
        <v>1</v>
      </c>
    </row>
    <row r="10" spans="1:22">
      <c r="A10" s="106"/>
      <c r="B10" s="8">
        <f t="shared" si="0"/>
        <v>103</v>
      </c>
      <c r="C10" s="9">
        <v>9</v>
      </c>
      <c r="D10" s="9">
        <v>10</v>
      </c>
      <c r="E10" s="9">
        <v>11</v>
      </c>
      <c r="F10" s="9">
        <v>12</v>
      </c>
      <c r="G10" s="107"/>
      <c r="H10" s="108"/>
      <c r="I10" s="108"/>
      <c r="J10" s="108"/>
      <c r="K10" s="109"/>
      <c r="L10" s="101"/>
      <c r="S10" s="93"/>
      <c r="T10" s="14" t="s">
        <v>11</v>
      </c>
      <c r="U10" s="13" cm="1">
        <f t="array" ref="U10">CountByColor(C20:K35, T10)</f>
        <v>0</v>
      </c>
      <c r="V10" s="73">
        <v>0</v>
      </c>
    </row>
    <row r="11" spans="1:22">
      <c r="A11" s="99"/>
      <c r="B11" s="8">
        <f t="shared" si="0"/>
        <v>104</v>
      </c>
      <c r="C11" s="11">
        <v>13</v>
      </c>
      <c r="D11" s="9">
        <v>14</v>
      </c>
      <c r="E11" s="9">
        <v>15</v>
      </c>
      <c r="F11" s="9">
        <v>16</v>
      </c>
      <c r="G11" s="85"/>
      <c r="H11" s="86"/>
      <c r="I11" s="86"/>
      <c r="J11" s="86"/>
      <c r="K11" s="87"/>
      <c r="L11" s="101"/>
      <c r="S11" s="93"/>
      <c r="T11" s="15" t="s">
        <v>12</v>
      </c>
      <c r="U11" s="13" cm="1">
        <f t="array" ref="U11">CountByColor(C20:K35, T11)</f>
        <v>0</v>
      </c>
      <c r="V11" s="73">
        <v>0</v>
      </c>
    </row>
    <row r="12" spans="1:22">
      <c r="A12" s="98">
        <v>2</v>
      </c>
      <c r="B12" s="8">
        <f t="shared" si="0"/>
        <v>201</v>
      </c>
      <c r="C12" s="9">
        <v>22</v>
      </c>
      <c r="D12" s="9">
        <v>23</v>
      </c>
      <c r="E12" s="9">
        <v>24</v>
      </c>
      <c r="F12" s="9">
        <v>25</v>
      </c>
      <c r="G12" s="9">
        <v>38</v>
      </c>
      <c r="H12" s="9">
        <v>39</v>
      </c>
      <c r="I12" s="9">
        <v>40</v>
      </c>
      <c r="J12" s="9">
        <v>41</v>
      </c>
      <c r="K12" s="9">
        <v>42</v>
      </c>
      <c r="L12" s="101"/>
      <c r="S12" s="94"/>
      <c r="T12" s="16" t="s">
        <v>13</v>
      </c>
      <c r="U12" s="13" cm="1">
        <f t="array" ref="U12">CountByColor(C20:K35, T12)</f>
        <v>84</v>
      </c>
      <c r="V12" s="73">
        <v>1</v>
      </c>
    </row>
    <row r="13" spans="1:22">
      <c r="A13" s="106"/>
      <c r="B13" s="8">
        <f t="shared" si="0"/>
        <v>202</v>
      </c>
      <c r="C13" s="9">
        <v>26</v>
      </c>
      <c r="D13" s="9">
        <v>27</v>
      </c>
      <c r="E13" s="9">
        <v>28</v>
      </c>
      <c r="F13" s="9">
        <v>29</v>
      </c>
      <c r="G13" s="82"/>
      <c r="H13" s="83"/>
      <c r="I13" s="83"/>
      <c r="J13" s="83"/>
      <c r="K13" s="84"/>
      <c r="L13" s="101"/>
      <c r="S13" s="1"/>
    </row>
    <row r="14" spans="1:22">
      <c r="A14" s="106"/>
      <c r="B14" s="8">
        <f t="shared" si="0"/>
        <v>203</v>
      </c>
      <c r="C14" s="9">
        <v>30</v>
      </c>
      <c r="D14" s="9">
        <v>31</v>
      </c>
      <c r="E14" s="9">
        <v>32</v>
      </c>
      <c r="F14" s="9">
        <v>33</v>
      </c>
      <c r="G14" s="107"/>
      <c r="H14" s="108"/>
      <c r="I14" s="108"/>
      <c r="J14" s="108"/>
      <c r="K14" s="109"/>
      <c r="L14" s="101"/>
      <c r="S14" s="92" t="s">
        <v>15</v>
      </c>
      <c r="T14" s="12" t="s">
        <v>10</v>
      </c>
      <c r="U14" s="13">
        <f>SUM(U15:U17)</f>
        <v>63</v>
      </c>
      <c r="V14" s="73">
        <v>1</v>
      </c>
    </row>
    <row r="15" spans="1:22">
      <c r="A15" s="99"/>
      <c r="B15" s="8">
        <f t="shared" si="0"/>
        <v>204</v>
      </c>
      <c r="C15" s="9">
        <v>34</v>
      </c>
      <c r="D15" s="9">
        <v>35</v>
      </c>
      <c r="E15" s="9">
        <v>36</v>
      </c>
      <c r="F15" s="9">
        <v>37</v>
      </c>
      <c r="G15" s="85"/>
      <c r="H15" s="86"/>
      <c r="I15" s="86"/>
      <c r="J15" s="86"/>
      <c r="K15" s="87"/>
      <c r="L15" s="101"/>
      <c r="S15" s="93"/>
      <c r="T15" s="14" t="s">
        <v>11</v>
      </c>
      <c r="U15" s="13" cm="1">
        <f t="array" ref="U15">CountByColor(C36:K47, T15)</f>
        <v>0</v>
      </c>
      <c r="V15" s="73">
        <v>0</v>
      </c>
    </row>
    <row r="16" spans="1:22">
      <c r="A16" s="98">
        <v>3</v>
      </c>
      <c r="B16" s="8">
        <f t="shared" si="0"/>
        <v>301</v>
      </c>
      <c r="C16" s="9">
        <v>43</v>
      </c>
      <c r="D16" s="9">
        <v>44</v>
      </c>
      <c r="E16" s="9">
        <v>45</v>
      </c>
      <c r="F16" s="9">
        <v>46</v>
      </c>
      <c r="G16" s="9">
        <v>59</v>
      </c>
      <c r="H16" s="9">
        <v>60</v>
      </c>
      <c r="I16" s="9">
        <v>61</v>
      </c>
      <c r="J16" s="9">
        <v>62</v>
      </c>
      <c r="K16" s="9">
        <v>63</v>
      </c>
      <c r="L16" s="101"/>
      <c r="S16" s="93"/>
      <c r="T16" s="15" t="s">
        <v>12</v>
      </c>
      <c r="U16" s="13" cm="1">
        <f t="array" ref="U16">CountByColor(C36:K47, T16)</f>
        <v>0</v>
      </c>
      <c r="V16" s="73">
        <v>0</v>
      </c>
    </row>
    <row r="17" spans="1:22">
      <c r="A17" s="106"/>
      <c r="B17" s="8">
        <f t="shared" si="0"/>
        <v>302</v>
      </c>
      <c r="C17" s="9">
        <v>47</v>
      </c>
      <c r="D17" s="9">
        <v>48</v>
      </c>
      <c r="E17" s="9">
        <v>49</v>
      </c>
      <c r="F17" s="9">
        <v>50</v>
      </c>
      <c r="G17" s="82"/>
      <c r="H17" s="83"/>
      <c r="I17" s="83"/>
      <c r="J17" s="83"/>
      <c r="K17" s="84"/>
      <c r="L17" s="101"/>
      <c r="S17" s="94"/>
      <c r="T17" s="16" t="s">
        <v>13</v>
      </c>
      <c r="U17" s="13" cm="1">
        <f t="array" ref="U17">CountByColor(C36:K47, T17)</f>
        <v>63</v>
      </c>
      <c r="V17" s="73">
        <v>1</v>
      </c>
    </row>
    <row r="18" spans="1:22">
      <c r="A18" s="106"/>
      <c r="B18" s="8">
        <f t="shared" si="0"/>
        <v>303</v>
      </c>
      <c r="C18" s="9">
        <v>51</v>
      </c>
      <c r="D18" s="9">
        <v>52</v>
      </c>
      <c r="E18" s="9">
        <v>53</v>
      </c>
      <c r="F18" s="9">
        <v>54</v>
      </c>
      <c r="G18" s="107"/>
      <c r="H18" s="108"/>
      <c r="I18" s="108"/>
      <c r="J18" s="108"/>
      <c r="K18" s="109"/>
      <c r="L18" s="101"/>
      <c r="S18" s="1"/>
    </row>
    <row r="19" spans="1:22">
      <c r="A19" s="99"/>
      <c r="B19" s="8">
        <f t="shared" si="0"/>
        <v>304</v>
      </c>
      <c r="C19" s="9">
        <v>55</v>
      </c>
      <c r="D19" s="9">
        <v>56</v>
      </c>
      <c r="E19" s="9">
        <v>57</v>
      </c>
      <c r="F19" s="9">
        <v>58</v>
      </c>
      <c r="G19" s="85"/>
      <c r="H19" s="86"/>
      <c r="I19" s="86"/>
      <c r="J19" s="86"/>
      <c r="K19" s="87"/>
      <c r="L19" s="102"/>
      <c r="S19" s="92" t="s">
        <v>16</v>
      </c>
      <c r="T19" s="12" t="s">
        <v>10</v>
      </c>
      <c r="U19" s="13">
        <f>SUM(U20:U22)</f>
        <v>63</v>
      </c>
      <c r="V19" s="73">
        <v>1</v>
      </c>
    </row>
    <row r="20" spans="1:22">
      <c r="A20" s="98">
        <v>4</v>
      </c>
      <c r="B20" s="8">
        <f t="shared" si="0"/>
        <v>401</v>
      </c>
      <c r="C20" s="9">
        <v>1</v>
      </c>
      <c r="D20" s="9">
        <v>2</v>
      </c>
      <c r="E20" s="9">
        <v>3</v>
      </c>
      <c r="F20" s="9">
        <v>4</v>
      </c>
      <c r="G20" s="9">
        <v>17</v>
      </c>
      <c r="H20" s="9">
        <v>18</v>
      </c>
      <c r="I20" s="9">
        <v>19</v>
      </c>
      <c r="J20" s="9">
        <v>20</v>
      </c>
      <c r="K20" s="9">
        <v>21</v>
      </c>
      <c r="L20" s="100" t="s">
        <v>14</v>
      </c>
      <c r="S20" s="93"/>
      <c r="T20" s="14" t="s">
        <v>11</v>
      </c>
      <c r="U20" s="13" cm="1">
        <f t="array" ref="U20">CountByColor(C48:K59, T20)</f>
        <v>0</v>
      </c>
      <c r="V20" s="73">
        <v>0</v>
      </c>
    </row>
    <row r="21" spans="1:22">
      <c r="A21" s="106"/>
      <c r="B21" s="8">
        <f t="shared" si="0"/>
        <v>402</v>
      </c>
      <c r="C21" s="9">
        <v>5</v>
      </c>
      <c r="D21" s="9">
        <v>6</v>
      </c>
      <c r="E21" s="9">
        <v>7</v>
      </c>
      <c r="F21" s="9">
        <v>8</v>
      </c>
      <c r="G21" s="82"/>
      <c r="H21" s="83"/>
      <c r="I21" s="83"/>
      <c r="J21" s="83"/>
      <c r="K21" s="84"/>
      <c r="L21" s="101"/>
      <c r="R21" s="1"/>
      <c r="S21" s="93"/>
      <c r="T21" s="15" t="s">
        <v>12</v>
      </c>
      <c r="U21" s="13" cm="1">
        <f t="array" ref="U21">CountByColor(C48:K59, T21)</f>
        <v>0</v>
      </c>
      <c r="V21" s="73">
        <v>0</v>
      </c>
    </row>
    <row r="22" spans="1:22">
      <c r="A22" s="106"/>
      <c r="B22" s="8">
        <f t="shared" si="0"/>
        <v>403</v>
      </c>
      <c r="C22" s="9">
        <v>9</v>
      </c>
      <c r="D22" s="9">
        <v>10</v>
      </c>
      <c r="E22" s="9">
        <v>11</v>
      </c>
      <c r="F22" s="9">
        <v>12</v>
      </c>
      <c r="G22" s="107"/>
      <c r="H22" s="108"/>
      <c r="I22" s="108"/>
      <c r="J22" s="108"/>
      <c r="K22" s="109"/>
      <c r="L22" s="101"/>
      <c r="S22" s="94"/>
      <c r="T22" s="16" t="s">
        <v>13</v>
      </c>
      <c r="U22" s="13" cm="1">
        <f t="array" ref="U22">CountByColor(C48:K59, T22)</f>
        <v>63</v>
      </c>
      <c r="V22" s="73">
        <v>1</v>
      </c>
    </row>
    <row r="23" spans="1:22">
      <c r="A23" s="99"/>
      <c r="B23" s="8">
        <f t="shared" si="0"/>
        <v>404</v>
      </c>
      <c r="C23" s="9">
        <v>13</v>
      </c>
      <c r="D23" s="9">
        <v>14</v>
      </c>
      <c r="E23" s="9">
        <v>15</v>
      </c>
      <c r="F23" s="9">
        <v>16</v>
      </c>
      <c r="G23" s="85"/>
      <c r="H23" s="86"/>
      <c r="I23" s="86"/>
      <c r="J23" s="86"/>
      <c r="K23" s="87"/>
      <c r="L23" s="101"/>
      <c r="S23" s="1"/>
    </row>
    <row r="24" spans="1:22">
      <c r="A24" s="98">
        <v>5</v>
      </c>
      <c r="B24" s="8">
        <f t="shared" si="0"/>
        <v>501</v>
      </c>
      <c r="C24" s="9">
        <v>22</v>
      </c>
      <c r="D24" s="9">
        <v>23</v>
      </c>
      <c r="E24" s="9">
        <v>24</v>
      </c>
      <c r="F24" s="9">
        <v>25</v>
      </c>
      <c r="G24" s="9">
        <v>38</v>
      </c>
      <c r="H24" s="9">
        <v>39</v>
      </c>
      <c r="I24" s="9">
        <v>40</v>
      </c>
      <c r="J24" s="9">
        <v>41</v>
      </c>
      <c r="K24" s="9">
        <v>42</v>
      </c>
      <c r="L24" s="101"/>
      <c r="S24" s="92" t="s">
        <v>19</v>
      </c>
      <c r="T24" s="12" t="s">
        <v>10</v>
      </c>
      <c r="U24" s="13">
        <f>SUM(U25:U27)</f>
        <v>63</v>
      </c>
      <c r="V24" s="73">
        <v>1</v>
      </c>
    </row>
    <row r="25" spans="1:22">
      <c r="A25" s="106"/>
      <c r="B25" s="8">
        <f t="shared" si="0"/>
        <v>502</v>
      </c>
      <c r="C25" s="9">
        <v>26</v>
      </c>
      <c r="D25" s="9">
        <v>27</v>
      </c>
      <c r="E25" s="9">
        <v>28</v>
      </c>
      <c r="F25" s="9">
        <v>29</v>
      </c>
      <c r="G25" s="82"/>
      <c r="H25" s="83"/>
      <c r="I25" s="83"/>
      <c r="J25" s="83"/>
      <c r="K25" s="84"/>
      <c r="L25" s="101"/>
      <c r="S25" s="93"/>
      <c r="T25" s="14" t="s">
        <v>11</v>
      </c>
      <c r="U25" s="13" cm="1">
        <f t="array" ref="U25">CountByColor(C60:K71, T25)</f>
        <v>0</v>
      </c>
      <c r="V25" s="73">
        <v>0</v>
      </c>
    </row>
    <row r="26" spans="1:22">
      <c r="A26" s="106"/>
      <c r="B26" s="8">
        <f t="shared" si="0"/>
        <v>503</v>
      </c>
      <c r="C26" s="9">
        <v>30</v>
      </c>
      <c r="D26" s="9">
        <v>31</v>
      </c>
      <c r="E26" s="9">
        <v>32</v>
      </c>
      <c r="F26" s="9">
        <v>33</v>
      </c>
      <c r="G26" s="107"/>
      <c r="H26" s="108"/>
      <c r="I26" s="108"/>
      <c r="J26" s="108"/>
      <c r="K26" s="109"/>
      <c r="L26" s="101"/>
      <c r="S26" s="93"/>
      <c r="T26" s="15" t="s">
        <v>12</v>
      </c>
      <c r="U26" s="13" cm="1">
        <f t="array" ref="U26">CountByColor(C60:K71, T26)</f>
        <v>0</v>
      </c>
      <c r="V26" s="73">
        <v>0</v>
      </c>
    </row>
    <row r="27" spans="1:22">
      <c r="A27" s="99"/>
      <c r="B27" s="8">
        <f t="shared" si="0"/>
        <v>504</v>
      </c>
      <c r="C27" s="9">
        <v>34</v>
      </c>
      <c r="D27" s="9">
        <v>35</v>
      </c>
      <c r="E27" s="9">
        <v>36</v>
      </c>
      <c r="F27" s="9">
        <v>37</v>
      </c>
      <c r="G27" s="85"/>
      <c r="H27" s="86"/>
      <c r="I27" s="86"/>
      <c r="J27" s="86"/>
      <c r="K27" s="87"/>
      <c r="L27" s="101"/>
      <c r="S27" s="94"/>
      <c r="T27" s="16" t="s">
        <v>13</v>
      </c>
      <c r="U27" s="13" cm="1">
        <f t="array" ref="U27">CountByColor(C60:K71, T27)</f>
        <v>63</v>
      </c>
      <c r="V27" s="73">
        <v>1</v>
      </c>
    </row>
    <row r="28" spans="1:22">
      <c r="A28" s="98">
        <v>6</v>
      </c>
      <c r="B28" s="8">
        <f t="shared" si="0"/>
        <v>601</v>
      </c>
      <c r="C28" s="9">
        <v>43</v>
      </c>
      <c r="D28" s="9">
        <v>44</v>
      </c>
      <c r="E28" s="9">
        <v>45</v>
      </c>
      <c r="F28" s="9">
        <v>46</v>
      </c>
      <c r="G28" s="9">
        <v>59</v>
      </c>
      <c r="H28" s="9">
        <v>60</v>
      </c>
      <c r="I28" s="9">
        <v>61</v>
      </c>
      <c r="J28" s="9">
        <v>62</v>
      </c>
      <c r="K28" s="9">
        <v>63</v>
      </c>
      <c r="L28" s="101"/>
      <c r="S28" s="1"/>
    </row>
    <row r="29" spans="1:22">
      <c r="A29" s="106"/>
      <c r="B29" s="8">
        <f t="shared" si="0"/>
        <v>602</v>
      </c>
      <c r="C29" s="9">
        <v>47</v>
      </c>
      <c r="D29" s="9">
        <v>48</v>
      </c>
      <c r="E29" s="9">
        <v>49</v>
      </c>
      <c r="F29" s="9">
        <v>50</v>
      </c>
      <c r="G29" s="82"/>
      <c r="H29" s="83"/>
      <c r="I29" s="83"/>
      <c r="J29" s="83"/>
      <c r="K29" s="84"/>
      <c r="L29" s="101"/>
      <c r="S29" s="92" t="s">
        <v>20</v>
      </c>
      <c r="T29" s="12" t="s">
        <v>10</v>
      </c>
      <c r="U29" s="13">
        <f>SUM(U30:U32)</f>
        <v>63</v>
      </c>
      <c r="V29" s="73">
        <v>1</v>
      </c>
    </row>
    <row r="30" spans="1:22">
      <c r="A30" s="106"/>
      <c r="B30" s="8">
        <f t="shared" si="0"/>
        <v>603</v>
      </c>
      <c r="C30" s="9">
        <v>51</v>
      </c>
      <c r="D30" s="9">
        <v>52</v>
      </c>
      <c r="E30" s="9">
        <v>53</v>
      </c>
      <c r="F30" s="9">
        <v>54</v>
      </c>
      <c r="G30" s="107"/>
      <c r="H30" s="108"/>
      <c r="I30" s="108"/>
      <c r="J30" s="108"/>
      <c r="K30" s="109"/>
      <c r="L30" s="101"/>
      <c r="S30" s="93"/>
      <c r="T30" s="14" t="s">
        <v>11</v>
      </c>
      <c r="U30" s="13" cm="1">
        <f t="array" ref="U30">CountByColor(C72:K83, T30)</f>
        <v>0</v>
      </c>
      <c r="V30" s="73">
        <v>0</v>
      </c>
    </row>
    <row r="31" spans="1:22">
      <c r="A31" s="99"/>
      <c r="B31" s="8">
        <f t="shared" si="0"/>
        <v>604</v>
      </c>
      <c r="C31" s="9">
        <v>55</v>
      </c>
      <c r="D31" s="9">
        <v>56</v>
      </c>
      <c r="E31" s="9">
        <v>57</v>
      </c>
      <c r="F31" s="9">
        <v>58</v>
      </c>
      <c r="G31" s="85"/>
      <c r="H31" s="86"/>
      <c r="I31" s="86"/>
      <c r="J31" s="86"/>
      <c r="K31" s="87"/>
      <c r="L31" s="101"/>
      <c r="O31" s="6"/>
      <c r="S31" s="93"/>
      <c r="T31" s="15" t="s">
        <v>12</v>
      </c>
      <c r="U31" s="13" cm="1">
        <f t="array" ref="U31">CountByColor(C72:K83, T31)</f>
        <v>0</v>
      </c>
      <c r="V31" s="73">
        <v>0</v>
      </c>
    </row>
    <row r="32" spans="1:22">
      <c r="A32" s="98">
        <v>7</v>
      </c>
      <c r="B32" s="8">
        <f t="shared" si="0"/>
        <v>701</v>
      </c>
      <c r="C32" s="9">
        <v>64</v>
      </c>
      <c r="D32" s="9">
        <v>65</v>
      </c>
      <c r="E32" s="9">
        <v>66</v>
      </c>
      <c r="F32" s="9">
        <v>67</v>
      </c>
      <c r="G32" s="9">
        <v>80</v>
      </c>
      <c r="H32" s="9">
        <v>81</v>
      </c>
      <c r="I32" s="9">
        <v>82</v>
      </c>
      <c r="J32" s="9">
        <v>83</v>
      </c>
      <c r="K32" s="9">
        <v>84</v>
      </c>
      <c r="L32" s="101"/>
      <c r="O32" s="6"/>
      <c r="S32" s="94"/>
      <c r="T32" s="16" t="s">
        <v>13</v>
      </c>
      <c r="U32" s="13" cm="1">
        <f t="array" ref="U32">CountByColor(C72:K83, T32)</f>
        <v>63</v>
      </c>
      <c r="V32" s="73">
        <v>1</v>
      </c>
    </row>
    <row r="33" spans="1:22">
      <c r="A33" s="106"/>
      <c r="B33" s="8">
        <f t="shared" si="0"/>
        <v>702</v>
      </c>
      <c r="C33" s="9">
        <v>68</v>
      </c>
      <c r="D33" s="9">
        <v>69</v>
      </c>
      <c r="E33" s="9">
        <v>70</v>
      </c>
      <c r="F33" s="9">
        <v>71</v>
      </c>
      <c r="G33" s="82"/>
      <c r="H33" s="83"/>
      <c r="I33" s="83"/>
      <c r="J33" s="83"/>
      <c r="K33" s="84"/>
      <c r="L33" s="101"/>
      <c r="O33" s="6"/>
      <c r="S33" s="1"/>
    </row>
    <row r="34" spans="1:22">
      <c r="A34" s="106"/>
      <c r="B34" s="8">
        <f t="shared" si="0"/>
        <v>703</v>
      </c>
      <c r="C34" s="9">
        <v>72</v>
      </c>
      <c r="D34" s="9">
        <v>73</v>
      </c>
      <c r="E34" s="9">
        <v>74</v>
      </c>
      <c r="F34" s="9">
        <v>75</v>
      </c>
      <c r="G34" s="107"/>
      <c r="H34" s="108"/>
      <c r="I34" s="108"/>
      <c r="J34" s="108"/>
      <c r="K34" s="109"/>
      <c r="L34" s="101"/>
      <c r="O34" s="6"/>
      <c r="S34" s="92" t="s">
        <v>21</v>
      </c>
      <c r="T34" s="12" t="s">
        <v>10</v>
      </c>
      <c r="U34" s="13">
        <f>SUM(U35:U37)</f>
        <v>63</v>
      </c>
      <c r="V34" s="73">
        <v>1</v>
      </c>
    </row>
    <row r="35" spans="1:22">
      <c r="A35" s="99"/>
      <c r="B35" s="8">
        <f t="shared" si="0"/>
        <v>704</v>
      </c>
      <c r="C35" s="9">
        <v>76</v>
      </c>
      <c r="D35" s="9">
        <v>77</v>
      </c>
      <c r="E35" s="9">
        <v>78</v>
      </c>
      <c r="F35" s="9">
        <v>79</v>
      </c>
      <c r="G35" s="85"/>
      <c r="H35" s="86"/>
      <c r="I35" s="86"/>
      <c r="J35" s="86"/>
      <c r="K35" s="87"/>
      <c r="L35" s="102"/>
      <c r="O35" s="6"/>
      <c r="S35" s="93"/>
      <c r="T35" s="14" t="s">
        <v>11</v>
      </c>
      <c r="U35" s="13" cm="1">
        <f t="array" ref="U35">CountByColor(C84:K95, T35)</f>
        <v>0</v>
      </c>
      <c r="V35" s="73">
        <v>0</v>
      </c>
    </row>
    <row r="36" spans="1:22">
      <c r="A36" s="98">
        <v>8</v>
      </c>
      <c r="B36" s="8">
        <f t="shared" si="0"/>
        <v>801</v>
      </c>
      <c r="C36" s="9">
        <v>1</v>
      </c>
      <c r="D36" s="9">
        <v>2</v>
      </c>
      <c r="E36" s="9">
        <v>3</v>
      </c>
      <c r="F36" s="9">
        <v>4</v>
      </c>
      <c r="G36" s="9">
        <v>17</v>
      </c>
      <c r="H36" s="9">
        <v>18</v>
      </c>
      <c r="I36" s="9">
        <v>19</v>
      </c>
      <c r="J36" s="9">
        <v>20</v>
      </c>
      <c r="K36" s="9">
        <v>21</v>
      </c>
      <c r="L36" s="100" t="s">
        <v>15</v>
      </c>
      <c r="N36" s="1"/>
      <c r="O36" s="6"/>
      <c r="S36" s="93"/>
      <c r="T36" s="15" t="s">
        <v>12</v>
      </c>
      <c r="U36" s="13" cm="1">
        <f t="array" ref="U36">CountByColor(C84:K95, T36)</f>
        <v>0</v>
      </c>
      <c r="V36" s="73">
        <v>0</v>
      </c>
    </row>
    <row r="37" spans="1:22">
      <c r="A37" s="106"/>
      <c r="B37" s="8">
        <f t="shared" si="0"/>
        <v>802</v>
      </c>
      <c r="C37" s="9">
        <v>5</v>
      </c>
      <c r="D37" s="9">
        <v>6</v>
      </c>
      <c r="E37" s="9">
        <v>7</v>
      </c>
      <c r="F37" s="9">
        <v>8</v>
      </c>
      <c r="G37" s="82"/>
      <c r="H37" s="83"/>
      <c r="I37" s="83"/>
      <c r="J37" s="83"/>
      <c r="K37" s="84"/>
      <c r="L37" s="101"/>
      <c r="N37" s="1"/>
      <c r="O37" s="6"/>
      <c r="S37" s="94"/>
      <c r="T37" s="16" t="s">
        <v>13</v>
      </c>
      <c r="U37" s="13" cm="1">
        <f t="array" ref="U37">CountByColor(C84:K95, T37)</f>
        <v>63</v>
      </c>
      <c r="V37" s="73">
        <v>1</v>
      </c>
    </row>
    <row r="38" spans="1:22">
      <c r="A38" s="106"/>
      <c r="B38" s="8">
        <f t="shared" si="0"/>
        <v>803</v>
      </c>
      <c r="C38" s="9">
        <v>9</v>
      </c>
      <c r="D38" s="9">
        <v>10</v>
      </c>
      <c r="E38" s="9">
        <v>11</v>
      </c>
      <c r="F38" s="9">
        <v>12</v>
      </c>
      <c r="G38" s="107"/>
      <c r="H38" s="108"/>
      <c r="I38" s="108"/>
      <c r="J38" s="108"/>
      <c r="K38" s="109"/>
      <c r="L38" s="101"/>
      <c r="N38" s="1"/>
      <c r="S38" s="1"/>
    </row>
    <row r="39" spans="1:22">
      <c r="A39" s="99"/>
      <c r="B39" s="8">
        <f t="shared" si="0"/>
        <v>804</v>
      </c>
      <c r="C39" s="9">
        <v>13</v>
      </c>
      <c r="D39" s="9">
        <v>14</v>
      </c>
      <c r="E39" s="9">
        <v>15</v>
      </c>
      <c r="F39" s="9">
        <v>16</v>
      </c>
      <c r="G39" s="85"/>
      <c r="H39" s="86"/>
      <c r="I39" s="86"/>
      <c r="J39" s="86"/>
      <c r="K39" s="87"/>
      <c r="L39" s="101"/>
      <c r="N39" s="17"/>
      <c r="S39" s="92" t="s">
        <v>22</v>
      </c>
      <c r="T39" s="12" t="s">
        <v>10</v>
      </c>
      <c r="U39" s="13">
        <f>SUM(U40:U42)</f>
        <v>69</v>
      </c>
      <c r="V39" s="73">
        <v>1</v>
      </c>
    </row>
    <row r="40" spans="1:22">
      <c r="A40" s="98">
        <v>9</v>
      </c>
      <c r="B40" s="8">
        <f t="shared" si="0"/>
        <v>901</v>
      </c>
      <c r="C40" s="9">
        <v>22</v>
      </c>
      <c r="D40" s="9">
        <v>23</v>
      </c>
      <c r="E40" s="9">
        <v>24</v>
      </c>
      <c r="F40" s="9">
        <v>25</v>
      </c>
      <c r="G40" s="9">
        <v>38</v>
      </c>
      <c r="H40" s="9">
        <v>39</v>
      </c>
      <c r="I40" s="9">
        <v>40</v>
      </c>
      <c r="J40" s="9">
        <v>41</v>
      </c>
      <c r="K40" s="9">
        <v>42</v>
      </c>
      <c r="L40" s="101"/>
      <c r="N40" s="6"/>
      <c r="R40" s="1"/>
      <c r="S40" s="93"/>
      <c r="T40" s="14" t="s">
        <v>11</v>
      </c>
      <c r="U40" s="13" cm="1">
        <f t="array" ref="U40">CountByColor(C96:K110, T40)</f>
        <v>0</v>
      </c>
      <c r="V40" s="73">
        <v>0</v>
      </c>
    </row>
    <row r="41" spans="1:22">
      <c r="A41" s="106"/>
      <c r="B41" s="8">
        <f t="shared" si="0"/>
        <v>902</v>
      </c>
      <c r="C41" s="9">
        <v>26</v>
      </c>
      <c r="D41" s="9">
        <v>27</v>
      </c>
      <c r="E41" s="9">
        <v>28</v>
      </c>
      <c r="F41" s="9">
        <v>29</v>
      </c>
      <c r="G41" s="82"/>
      <c r="H41" s="83"/>
      <c r="I41" s="83"/>
      <c r="J41" s="83"/>
      <c r="K41" s="84"/>
      <c r="L41" s="101"/>
      <c r="N41" s="6"/>
      <c r="R41" s="1"/>
      <c r="S41" s="93"/>
      <c r="T41" s="15" t="s">
        <v>12</v>
      </c>
      <c r="U41" s="13" cm="1">
        <f t="array" ref="U41">CountByColor(C96:K110, T41)</f>
        <v>0</v>
      </c>
      <c r="V41" s="73">
        <v>0</v>
      </c>
    </row>
    <row r="42" spans="1:22">
      <c r="A42" s="106"/>
      <c r="B42" s="8">
        <f t="shared" si="0"/>
        <v>903</v>
      </c>
      <c r="C42" s="9">
        <v>30</v>
      </c>
      <c r="D42" s="9">
        <v>31</v>
      </c>
      <c r="E42" s="9">
        <v>32</v>
      </c>
      <c r="F42" s="9">
        <v>33</v>
      </c>
      <c r="G42" s="107"/>
      <c r="H42" s="108"/>
      <c r="I42" s="108"/>
      <c r="J42" s="108"/>
      <c r="K42" s="109"/>
      <c r="L42" s="101"/>
      <c r="N42" s="6"/>
      <c r="R42" s="1"/>
      <c r="S42" s="94"/>
      <c r="T42" s="16" t="s">
        <v>13</v>
      </c>
      <c r="U42" s="13" cm="1">
        <f t="array" ref="U42">CountByColor(C96:K110, T42)</f>
        <v>69</v>
      </c>
      <c r="V42" s="73">
        <v>1</v>
      </c>
    </row>
    <row r="43" spans="1:22">
      <c r="A43" s="99"/>
      <c r="B43" s="8">
        <f t="shared" si="0"/>
        <v>904</v>
      </c>
      <c r="C43" s="9">
        <v>34</v>
      </c>
      <c r="D43" s="9">
        <v>35</v>
      </c>
      <c r="E43" s="9">
        <v>36</v>
      </c>
      <c r="F43" s="9">
        <v>37</v>
      </c>
      <c r="G43" s="85"/>
      <c r="H43" s="86"/>
      <c r="I43" s="86"/>
      <c r="J43" s="86"/>
      <c r="K43" s="87"/>
      <c r="L43" s="101"/>
    </row>
    <row r="44" spans="1:22">
      <c r="A44" s="98">
        <v>10</v>
      </c>
      <c r="B44" s="8">
        <f t="shared" si="0"/>
        <v>1001</v>
      </c>
      <c r="C44" s="9">
        <v>43</v>
      </c>
      <c r="D44" s="9">
        <v>44</v>
      </c>
      <c r="E44" s="9">
        <v>45</v>
      </c>
      <c r="F44" s="9">
        <v>46</v>
      </c>
      <c r="G44" s="9">
        <v>59</v>
      </c>
      <c r="H44" s="9">
        <v>60</v>
      </c>
      <c r="I44" s="9">
        <v>61</v>
      </c>
      <c r="J44" s="9">
        <v>62</v>
      </c>
      <c r="K44" s="9">
        <v>63</v>
      </c>
      <c r="L44" s="101"/>
      <c r="M44" s="1"/>
    </row>
    <row r="45" spans="1:22">
      <c r="A45" s="106"/>
      <c r="B45" s="8">
        <f t="shared" si="0"/>
        <v>1002</v>
      </c>
      <c r="C45" s="9">
        <v>47</v>
      </c>
      <c r="D45" s="9">
        <v>48</v>
      </c>
      <c r="E45" s="9">
        <v>49</v>
      </c>
      <c r="F45" s="9">
        <v>50</v>
      </c>
      <c r="G45" s="82"/>
      <c r="H45" s="83"/>
      <c r="I45" s="83"/>
      <c r="J45" s="83"/>
      <c r="K45" s="84"/>
      <c r="L45" s="101"/>
      <c r="M45" s="1"/>
    </row>
    <row r="46" spans="1:22">
      <c r="A46" s="106"/>
      <c r="B46" s="8">
        <f t="shared" si="0"/>
        <v>1003</v>
      </c>
      <c r="C46" s="9">
        <v>51</v>
      </c>
      <c r="D46" s="9">
        <v>52</v>
      </c>
      <c r="E46" s="9">
        <v>53</v>
      </c>
      <c r="F46" s="9">
        <v>54</v>
      </c>
      <c r="G46" s="107"/>
      <c r="H46" s="108"/>
      <c r="I46" s="108"/>
      <c r="J46" s="108"/>
      <c r="K46" s="109"/>
      <c r="L46" s="101"/>
      <c r="M46" s="1"/>
    </row>
    <row r="47" spans="1:22">
      <c r="A47" s="99"/>
      <c r="B47" s="8">
        <f t="shared" si="0"/>
        <v>1004</v>
      </c>
      <c r="C47" s="9">
        <v>55</v>
      </c>
      <c r="D47" s="9">
        <v>56</v>
      </c>
      <c r="E47" s="9">
        <v>57</v>
      </c>
      <c r="F47" s="9">
        <v>58</v>
      </c>
      <c r="G47" s="85"/>
      <c r="H47" s="86"/>
      <c r="I47" s="86"/>
      <c r="J47" s="86"/>
      <c r="K47" s="87"/>
      <c r="L47" s="102"/>
      <c r="M47" s="1"/>
    </row>
    <row r="48" spans="1:22">
      <c r="A48" s="98">
        <v>11</v>
      </c>
      <c r="B48" s="8">
        <f t="shared" si="0"/>
        <v>1101</v>
      </c>
      <c r="C48" s="9">
        <v>1</v>
      </c>
      <c r="D48" s="9">
        <v>2</v>
      </c>
      <c r="E48" s="9">
        <v>3</v>
      </c>
      <c r="F48" s="9">
        <v>4</v>
      </c>
      <c r="G48" s="9">
        <v>17</v>
      </c>
      <c r="H48" s="9">
        <v>18</v>
      </c>
      <c r="I48" s="9">
        <v>19</v>
      </c>
      <c r="J48" s="9">
        <v>20</v>
      </c>
      <c r="K48" s="9">
        <v>21</v>
      </c>
      <c r="L48" s="100" t="s">
        <v>16</v>
      </c>
      <c r="M48" s="1"/>
    </row>
    <row r="49" spans="1:13">
      <c r="A49" s="106"/>
      <c r="B49" s="8">
        <f t="shared" si="0"/>
        <v>1102</v>
      </c>
      <c r="C49" s="9">
        <v>5</v>
      </c>
      <c r="D49" s="9">
        <v>6</v>
      </c>
      <c r="E49" s="9">
        <v>7</v>
      </c>
      <c r="F49" s="9">
        <v>8</v>
      </c>
      <c r="G49" s="23"/>
      <c r="H49" s="24"/>
      <c r="I49" s="24"/>
      <c r="J49" s="24"/>
      <c r="K49" s="25"/>
      <c r="L49" s="101"/>
      <c r="M49" s="1"/>
    </row>
    <row r="50" spans="1:13">
      <c r="A50" s="106"/>
      <c r="B50" s="8">
        <f t="shared" si="0"/>
        <v>1103</v>
      </c>
      <c r="C50" s="9">
        <v>9</v>
      </c>
      <c r="D50" s="9">
        <v>10</v>
      </c>
      <c r="E50" s="9">
        <v>11</v>
      </c>
      <c r="F50" s="9">
        <v>12</v>
      </c>
      <c r="G50" s="26"/>
      <c r="H50" s="34"/>
      <c r="I50" s="34"/>
      <c r="J50" s="34"/>
      <c r="K50" s="27"/>
      <c r="L50" s="101"/>
      <c r="M50" s="1"/>
    </row>
    <row r="51" spans="1:13">
      <c r="A51" s="99"/>
      <c r="B51" s="8">
        <f t="shared" si="0"/>
        <v>1104</v>
      </c>
      <c r="C51" s="9">
        <v>13</v>
      </c>
      <c r="D51" s="9">
        <v>14</v>
      </c>
      <c r="E51" s="9">
        <v>15</v>
      </c>
      <c r="F51" s="9">
        <v>16</v>
      </c>
      <c r="G51" s="28"/>
      <c r="H51" s="29"/>
      <c r="I51" s="29"/>
      <c r="J51" s="29"/>
      <c r="K51" s="30"/>
      <c r="L51" s="101"/>
      <c r="M51" s="1"/>
    </row>
    <row r="52" spans="1:13">
      <c r="A52" s="80">
        <v>12</v>
      </c>
      <c r="B52" s="8">
        <f t="shared" si="0"/>
        <v>1201</v>
      </c>
      <c r="C52" s="9">
        <v>22</v>
      </c>
      <c r="D52" s="9">
        <v>23</v>
      </c>
      <c r="E52" s="9">
        <v>24</v>
      </c>
      <c r="F52" s="9">
        <v>25</v>
      </c>
      <c r="G52" s="9">
        <v>38</v>
      </c>
      <c r="H52" s="9">
        <v>39</v>
      </c>
      <c r="I52" s="9">
        <v>40</v>
      </c>
      <c r="J52" s="9">
        <v>41</v>
      </c>
      <c r="K52" s="9">
        <v>42</v>
      </c>
      <c r="L52" s="101"/>
      <c r="M52" s="1"/>
    </row>
    <row r="53" spans="1:13">
      <c r="A53" s="80"/>
      <c r="B53" s="8">
        <f t="shared" si="0"/>
        <v>1202</v>
      </c>
      <c r="C53" s="9">
        <v>26</v>
      </c>
      <c r="D53" s="9">
        <v>27</v>
      </c>
      <c r="E53" s="9">
        <v>28</v>
      </c>
      <c r="F53" s="9">
        <v>29</v>
      </c>
      <c r="G53" s="82"/>
      <c r="H53" s="83"/>
      <c r="I53" s="83"/>
      <c r="J53" s="83"/>
      <c r="K53" s="84"/>
      <c r="L53" s="101"/>
      <c r="M53" s="1"/>
    </row>
    <row r="54" spans="1:13">
      <c r="A54" s="80"/>
      <c r="B54" s="8">
        <f t="shared" si="0"/>
        <v>1203</v>
      </c>
      <c r="C54" s="9">
        <v>30</v>
      </c>
      <c r="D54" s="9">
        <v>31</v>
      </c>
      <c r="E54" s="9">
        <v>32</v>
      </c>
      <c r="F54" s="9">
        <v>33</v>
      </c>
      <c r="G54" s="107"/>
      <c r="H54" s="108"/>
      <c r="I54" s="108"/>
      <c r="J54" s="108"/>
      <c r="K54" s="109"/>
      <c r="L54" s="101"/>
    </row>
    <row r="55" spans="1:13">
      <c r="A55" s="80"/>
      <c r="B55" s="8">
        <f t="shared" si="0"/>
        <v>1204</v>
      </c>
      <c r="C55" s="9">
        <v>34</v>
      </c>
      <c r="D55" s="9">
        <v>35</v>
      </c>
      <c r="E55" s="9">
        <v>36</v>
      </c>
      <c r="F55" s="9">
        <v>37</v>
      </c>
      <c r="G55" s="85"/>
      <c r="H55" s="86"/>
      <c r="I55" s="86"/>
      <c r="J55" s="86"/>
      <c r="K55" s="87"/>
      <c r="L55" s="101"/>
    </row>
    <row r="56" spans="1:13">
      <c r="A56" s="98">
        <v>13</v>
      </c>
      <c r="B56" s="8">
        <f t="shared" si="0"/>
        <v>1301</v>
      </c>
      <c r="C56" s="9">
        <v>43</v>
      </c>
      <c r="D56" s="9">
        <v>44</v>
      </c>
      <c r="E56" s="9">
        <v>45</v>
      </c>
      <c r="F56" s="9">
        <v>46</v>
      </c>
      <c r="G56" s="9">
        <v>59</v>
      </c>
      <c r="H56" s="9">
        <v>60</v>
      </c>
      <c r="I56" s="9">
        <v>61</v>
      </c>
      <c r="J56" s="9">
        <v>62</v>
      </c>
      <c r="K56" s="9">
        <v>63</v>
      </c>
      <c r="L56" s="101"/>
    </row>
    <row r="57" spans="1:13">
      <c r="A57" s="106"/>
      <c r="B57" s="8">
        <f t="shared" si="0"/>
        <v>1302</v>
      </c>
      <c r="C57" s="9">
        <v>47</v>
      </c>
      <c r="D57" s="9">
        <v>48</v>
      </c>
      <c r="E57" s="9">
        <v>49</v>
      </c>
      <c r="F57" s="9">
        <v>50</v>
      </c>
      <c r="G57" s="82"/>
      <c r="H57" s="83"/>
      <c r="I57" s="83"/>
      <c r="J57" s="83"/>
      <c r="K57" s="84"/>
      <c r="L57" s="101"/>
    </row>
    <row r="58" spans="1:13">
      <c r="A58" s="106"/>
      <c r="B58" s="8">
        <f t="shared" si="0"/>
        <v>1303</v>
      </c>
      <c r="C58" s="9">
        <v>51</v>
      </c>
      <c r="D58" s="9">
        <v>52</v>
      </c>
      <c r="E58" s="9">
        <v>53</v>
      </c>
      <c r="F58" s="9">
        <v>54</v>
      </c>
      <c r="G58" s="107"/>
      <c r="H58" s="108"/>
      <c r="I58" s="108"/>
      <c r="J58" s="108"/>
      <c r="K58" s="109"/>
      <c r="L58" s="101"/>
    </row>
    <row r="59" spans="1:13">
      <c r="A59" s="99"/>
      <c r="B59" s="8">
        <f t="shared" si="0"/>
        <v>1304</v>
      </c>
      <c r="C59" s="9">
        <v>55</v>
      </c>
      <c r="D59" s="9">
        <v>56</v>
      </c>
      <c r="E59" s="9">
        <v>57</v>
      </c>
      <c r="F59" s="9">
        <v>58</v>
      </c>
      <c r="G59" s="85"/>
      <c r="H59" s="86"/>
      <c r="I59" s="86"/>
      <c r="J59" s="86"/>
      <c r="K59" s="87"/>
      <c r="L59" s="102"/>
    </row>
    <row r="60" spans="1:13">
      <c r="A60" s="98">
        <v>14</v>
      </c>
      <c r="B60" s="8">
        <f t="shared" si="0"/>
        <v>1401</v>
      </c>
      <c r="C60" s="9">
        <v>1</v>
      </c>
      <c r="D60" s="9">
        <v>2</v>
      </c>
      <c r="E60" s="9">
        <v>3</v>
      </c>
      <c r="F60" s="9">
        <v>4</v>
      </c>
      <c r="G60" s="9">
        <v>17</v>
      </c>
      <c r="H60" s="9">
        <v>18</v>
      </c>
      <c r="I60" s="9">
        <v>19</v>
      </c>
      <c r="J60" s="9">
        <v>20</v>
      </c>
      <c r="K60" s="9">
        <v>21</v>
      </c>
      <c r="L60" s="100" t="s">
        <v>18</v>
      </c>
    </row>
    <row r="61" spans="1:13">
      <c r="A61" s="106"/>
      <c r="B61" s="8">
        <f t="shared" si="0"/>
        <v>1402</v>
      </c>
      <c r="C61" s="9">
        <v>5</v>
      </c>
      <c r="D61" s="9">
        <v>6</v>
      </c>
      <c r="E61" s="9">
        <v>7</v>
      </c>
      <c r="F61" s="9">
        <v>8</v>
      </c>
      <c r="G61" s="82"/>
      <c r="H61" s="83"/>
      <c r="I61" s="83"/>
      <c r="J61" s="83"/>
      <c r="K61" s="84"/>
      <c r="L61" s="101"/>
    </row>
    <row r="62" spans="1:13">
      <c r="A62" s="106"/>
      <c r="B62" s="8">
        <f t="shared" si="0"/>
        <v>1403</v>
      </c>
      <c r="C62" s="9">
        <v>9</v>
      </c>
      <c r="D62" s="9">
        <v>10</v>
      </c>
      <c r="E62" s="9">
        <v>11</v>
      </c>
      <c r="F62" s="9">
        <v>12</v>
      </c>
      <c r="G62" s="107"/>
      <c r="H62" s="108"/>
      <c r="I62" s="108"/>
      <c r="J62" s="108"/>
      <c r="K62" s="109"/>
      <c r="L62" s="101"/>
    </row>
    <row r="63" spans="1:13">
      <c r="A63" s="99"/>
      <c r="B63" s="8">
        <f t="shared" si="0"/>
        <v>1404</v>
      </c>
      <c r="C63" s="9">
        <v>13</v>
      </c>
      <c r="D63" s="9">
        <v>14</v>
      </c>
      <c r="E63" s="9">
        <v>15</v>
      </c>
      <c r="F63" s="9">
        <v>16</v>
      </c>
      <c r="G63" s="85"/>
      <c r="H63" s="86"/>
      <c r="I63" s="86"/>
      <c r="J63" s="86"/>
      <c r="K63" s="87"/>
      <c r="L63" s="101"/>
    </row>
    <row r="64" spans="1:13">
      <c r="A64" s="98">
        <v>15</v>
      </c>
      <c r="B64" s="8">
        <f t="shared" si="0"/>
        <v>1501</v>
      </c>
      <c r="C64" s="9">
        <v>22</v>
      </c>
      <c r="D64" s="9">
        <v>23</v>
      </c>
      <c r="E64" s="9">
        <v>24</v>
      </c>
      <c r="F64" s="9">
        <v>25</v>
      </c>
      <c r="G64" s="9">
        <v>38</v>
      </c>
      <c r="H64" s="9">
        <v>39</v>
      </c>
      <c r="I64" s="9">
        <v>40</v>
      </c>
      <c r="J64" s="9">
        <v>41</v>
      </c>
      <c r="K64" s="9">
        <v>42</v>
      </c>
      <c r="L64" s="101"/>
    </row>
    <row r="65" spans="1:12">
      <c r="A65" s="106"/>
      <c r="B65" s="8">
        <f t="shared" si="0"/>
        <v>1502</v>
      </c>
      <c r="C65" s="9">
        <v>26</v>
      </c>
      <c r="D65" s="9">
        <v>27</v>
      </c>
      <c r="E65" s="9">
        <v>28</v>
      </c>
      <c r="F65" s="9">
        <v>29</v>
      </c>
      <c r="G65" s="82"/>
      <c r="H65" s="83"/>
      <c r="I65" s="83"/>
      <c r="J65" s="83"/>
      <c r="K65" s="84"/>
      <c r="L65" s="101"/>
    </row>
    <row r="66" spans="1:12">
      <c r="A66" s="106"/>
      <c r="B66" s="8">
        <f t="shared" si="0"/>
        <v>1503</v>
      </c>
      <c r="C66" s="9">
        <v>30</v>
      </c>
      <c r="D66" s="9">
        <v>31</v>
      </c>
      <c r="E66" s="9">
        <v>32</v>
      </c>
      <c r="F66" s="9">
        <v>33</v>
      </c>
      <c r="G66" s="107"/>
      <c r="H66" s="108"/>
      <c r="I66" s="108"/>
      <c r="J66" s="108"/>
      <c r="K66" s="109"/>
      <c r="L66" s="101"/>
    </row>
    <row r="67" spans="1:12">
      <c r="A67" s="99"/>
      <c r="B67" s="8">
        <f t="shared" si="0"/>
        <v>1504</v>
      </c>
      <c r="C67" s="9">
        <v>34</v>
      </c>
      <c r="D67" s="9">
        <v>35</v>
      </c>
      <c r="E67" s="9">
        <v>36</v>
      </c>
      <c r="F67" s="9">
        <v>37</v>
      </c>
      <c r="G67" s="85"/>
      <c r="H67" s="86"/>
      <c r="I67" s="86"/>
      <c r="J67" s="86"/>
      <c r="K67" s="87"/>
      <c r="L67" s="101"/>
    </row>
    <row r="68" spans="1:12">
      <c r="A68" s="98">
        <v>16</v>
      </c>
      <c r="B68" s="8">
        <f t="shared" si="0"/>
        <v>1601</v>
      </c>
      <c r="C68" s="9">
        <v>43</v>
      </c>
      <c r="D68" s="9">
        <v>44</v>
      </c>
      <c r="E68" s="9">
        <v>45</v>
      </c>
      <c r="F68" s="9">
        <v>46</v>
      </c>
      <c r="G68" s="9">
        <v>59</v>
      </c>
      <c r="H68" s="9">
        <v>60</v>
      </c>
      <c r="I68" s="9">
        <v>61</v>
      </c>
      <c r="J68" s="9">
        <v>62</v>
      </c>
      <c r="K68" s="9">
        <v>63</v>
      </c>
      <c r="L68" s="101"/>
    </row>
    <row r="69" spans="1:12">
      <c r="A69" s="106"/>
      <c r="B69" s="8">
        <f t="shared" si="0"/>
        <v>1602</v>
      </c>
      <c r="C69" s="9">
        <v>47</v>
      </c>
      <c r="D69" s="9">
        <v>48</v>
      </c>
      <c r="E69" s="9">
        <v>49</v>
      </c>
      <c r="F69" s="9">
        <v>50</v>
      </c>
      <c r="G69" s="82"/>
      <c r="H69" s="83"/>
      <c r="I69" s="83"/>
      <c r="J69" s="83"/>
      <c r="K69" s="84"/>
      <c r="L69" s="101"/>
    </row>
    <row r="70" spans="1:12">
      <c r="A70" s="106"/>
      <c r="B70" s="8">
        <f t="shared" si="0"/>
        <v>1603</v>
      </c>
      <c r="C70" s="9">
        <v>51</v>
      </c>
      <c r="D70" s="9">
        <v>52</v>
      </c>
      <c r="E70" s="9">
        <v>53</v>
      </c>
      <c r="F70" s="9">
        <v>54</v>
      </c>
      <c r="G70" s="107"/>
      <c r="H70" s="108"/>
      <c r="I70" s="108"/>
      <c r="J70" s="108"/>
      <c r="K70" s="109"/>
      <c r="L70" s="101"/>
    </row>
    <row r="71" spans="1:12">
      <c r="A71" s="99"/>
      <c r="B71" s="8">
        <f t="shared" si="0"/>
        <v>1604</v>
      </c>
      <c r="C71" s="9">
        <v>55</v>
      </c>
      <c r="D71" s="9">
        <v>56</v>
      </c>
      <c r="E71" s="9">
        <v>57</v>
      </c>
      <c r="F71" s="9">
        <v>58</v>
      </c>
      <c r="G71" s="85"/>
      <c r="H71" s="86"/>
      <c r="I71" s="86"/>
      <c r="J71" s="86"/>
      <c r="K71" s="87"/>
      <c r="L71" s="102"/>
    </row>
    <row r="72" spans="1:12">
      <c r="A72" s="98">
        <v>17</v>
      </c>
      <c r="B72" s="8">
        <f t="shared" si="0"/>
        <v>1701</v>
      </c>
      <c r="C72" s="9">
        <v>1</v>
      </c>
      <c r="D72" s="9">
        <v>2</v>
      </c>
      <c r="E72" s="9">
        <v>3</v>
      </c>
      <c r="F72" s="9">
        <v>4</v>
      </c>
      <c r="G72" s="9">
        <v>17</v>
      </c>
      <c r="H72" s="9">
        <v>18</v>
      </c>
      <c r="I72" s="9">
        <v>19</v>
      </c>
      <c r="J72" s="9">
        <v>20</v>
      </c>
      <c r="K72" s="9">
        <v>21</v>
      </c>
      <c r="L72" s="100" t="s">
        <v>20</v>
      </c>
    </row>
    <row r="73" spans="1:12">
      <c r="A73" s="106"/>
      <c r="B73" s="8">
        <f t="shared" ref="B73:B107" si="1">(INT((ROW()-8)/4)+1)*100 + MOD(ROW()-8,4)+1</f>
        <v>1702</v>
      </c>
      <c r="C73" s="9">
        <v>5</v>
      </c>
      <c r="D73" s="9">
        <v>6</v>
      </c>
      <c r="E73" s="9">
        <v>7</v>
      </c>
      <c r="F73" s="9">
        <v>8</v>
      </c>
      <c r="G73" s="23"/>
      <c r="H73" s="24"/>
      <c r="I73" s="24"/>
      <c r="J73" s="24"/>
      <c r="K73" s="25"/>
      <c r="L73" s="101"/>
    </row>
    <row r="74" spans="1:12">
      <c r="A74" s="106"/>
      <c r="B74" s="8">
        <f t="shared" si="1"/>
        <v>1703</v>
      </c>
      <c r="C74" s="9">
        <v>9</v>
      </c>
      <c r="D74" s="9">
        <v>10</v>
      </c>
      <c r="E74" s="9">
        <v>11</v>
      </c>
      <c r="F74" s="9">
        <v>12</v>
      </c>
      <c r="G74" s="26"/>
      <c r="H74" s="34"/>
      <c r="I74" s="34"/>
      <c r="J74" s="34"/>
      <c r="K74" s="27"/>
      <c r="L74" s="101"/>
    </row>
    <row r="75" spans="1:12">
      <c r="A75" s="99"/>
      <c r="B75" s="8">
        <f t="shared" si="1"/>
        <v>1704</v>
      </c>
      <c r="C75" s="9">
        <v>13</v>
      </c>
      <c r="D75" s="9">
        <v>14</v>
      </c>
      <c r="E75" s="9">
        <v>15</v>
      </c>
      <c r="F75" s="9">
        <v>16</v>
      </c>
      <c r="G75" s="28"/>
      <c r="H75" s="29"/>
      <c r="I75" s="29"/>
      <c r="J75" s="29"/>
      <c r="K75" s="30"/>
      <c r="L75" s="101"/>
    </row>
    <row r="76" spans="1:12">
      <c r="A76" s="98">
        <v>18</v>
      </c>
      <c r="B76" s="8">
        <f t="shared" si="1"/>
        <v>1801</v>
      </c>
      <c r="C76" s="9">
        <v>22</v>
      </c>
      <c r="D76" s="9">
        <v>23</v>
      </c>
      <c r="E76" s="9">
        <v>24</v>
      </c>
      <c r="F76" s="9">
        <v>25</v>
      </c>
      <c r="G76" s="9">
        <v>38</v>
      </c>
      <c r="H76" s="9">
        <v>39</v>
      </c>
      <c r="I76" s="9">
        <v>40</v>
      </c>
      <c r="J76" s="9">
        <v>41</v>
      </c>
      <c r="K76" s="9">
        <v>42</v>
      </c>
      <c r="L76" s="101"/>
    </row>
    <row r="77" spans="1:12">
      <c r="A77" s="106"/>
      <c r="B77" s="8">
        <f t="shared" si="1"/>
        <v>1802</v>
      </c>
      <c r="C77" s="9">
        <v>26</v>
      </c>
      <c r="D77" s="9">
        <v>27</v>
      </c>
      <c r="E77" s="9">
        <v>28</v>
      </c>
      <c r="F77" s="9">
        <v>29</v>
      </c>
      <c r="G77" s="82"/>
      <c r="H77" s="83"/>
      <c r="I77" s="83"/>
      <c r="J77" s="83"/>
      <c r="K77" s="84"/>
      <c r="L77" s="101"/>
    </row>
    <row r="78" spans="1:12">
      <c r="A78" s="106"/>
      <c r="B78" s="8">
        <f t="shared" si="1"/>
        <v>1803</v>
      </c>
      <c r="C78" s="9">
        <v>30</v>
      </c>
      <c r="D78" s="9">
        <v>31</v>
      </c>
      <c r="E78" s="9">
        <v>32</v>
      </c>
      <c r="F78" s="9">
        <v>33</v>
      </c>
      <c r="G78" s="107"/>
      <c r="H78" s="108"/>
      <c r="I78" s="108"/>
      <c r="J78" s="108"/>
      <c r="K78" s="109"/>
      <c r="L78" s="101"/>
    </row>
    <row r="79" spans="1:12">
      <c r="A79" s="99"/>
      <c r="B79" s="8">
        <f t="shared" si="1"/>
        <v>1804</v>
      </c>
      <c r="C79" s="9">
        <v>34</v>
      </c>
      <c r="D79" s="9">
        <v>35</v>
      </c>
      <c r="E79" s="9">
        <v>36</v>
      </c>
      <c r="F79" s="9">
        <v>37</v>
      </c>
      <c r="G79" s="85"/>
      <c r="H79" s="86"/>
      <c r="I79" s="86"/>
      <c r="J79" s="86"/>
      <c r="K79" s="87"/>
      <c r="L79" s="101"/>
    </row>
    <row r="80" spans="1:12">
      <c r="A80" s="98">
        <v>19</v>
      </c>
      <c r="B80" s="8">
        <f t="shared" si="1"/>
        <v>1901</v>
      </c>
      <c r="C80" s="9">
        <v>43</v>
      </c>
      <c r="D80" s="9">
        <v>44</v>
      </c>
      <c r="E80" s="9">
        <v>45</v>
      </c>
      <c r="F80" s="9">
        <v>46</v>
      </c>
      <c r="G80" s="9">
        <v>59</v>
      </c>
      <c r="H80" s="9">
        <v>60</v>
      </c>
      <c r="I80" s="9">
        <v>61</v>
      </c>
      <c r="J80" s="9">
        <v>62</v>
      </c>
      <c r="K80" s="9">
        <v>63</v>
      </c>
      <c r="L80" s="101"/>
    </row>
    <row r="81" spans="1:12">
      <c r="A81" s="106"/>
      <c r="B81" s="8">
        <f t="shared" si="1"/>
        <v>1902</v>
      </c>
      <c r="C81" s="9">
        <v>47</v>
      </c>
      <c r="D81" s="9">
        <v>48</v>
      </c>
      <c r="E81" s="9">
        <v>49</v>
      </c>
      <c r="F81" s="9">
        <v>50</v>
      </c>
      <c r="G81" s="82"/>
      <c r="H81" s="83"/>
      <c r="I81" s="83"/>
      <c r="J81" s="83"/>
      <c r="K81" s="84"/>
      <c r="L81" s="101"/>
    </row>
    <row r="82" spans="1:12">
      <c r="A82" s="106"/>
      <c r="B82" s="8">
        <f t="shared" si="1"/>
        <v>1903</v>
      </c>
      <c r="C82" s="9">
        <v>51</v>
      </c>
      <c r="D82" s="9">
        <v>52</v>
      </c>
      <c r="E82" s="9">
        <v>53</v>
      </c>
      <c r="F82" s="9">
        <v>54</v>
      </c>
      <c r="G82" s="107"/>
      <c r="H82" s="108"/>
      <c r="I82" s="108"/>
      <c r="J82" s="108"/>
      <c r="K82" s="109"/>
      <c r="L82" s="101"/>
    </row>
    <row r="83" spans="1:12">
      <c r="A83" s="99"/>
      <c r="B83" s="8">
        <f t="shared" si="1"/>
        <v>1904</v>
      </c>
      <c r="C83" s="9">
        <v>55</v>
      </c>
      <c r="D83" s="9">
        <v>56</v>
      </c>
      <c r="E83" s="9">
        <v>57</v>
      </c>
      <c r="F83" s="9">
        <v>58</v>
      </c>
      <c r="G83" s="85"/>
      <c r="H83" s="86"/>
      <c r="I83" s="86"/>
      <c r="J83" s="86"/>
      <c r="K83" s="87"/>
      <c r="L83" s="102"/>
    </row>
    <row r="84" spans="1:12">
      <c r="A84" s="98">
        <v>20</v>
      </c>
      <c r="B84" s="8">
        <f t="shared" si="1"/>
        <v>2001</v>
      </c>
      <c r="C84" s="9">
        <v>1</v>
      </c>
      <c r="D84" s="9">
        <v>2</v>
      </c>
      <c r="E84" s="9">
        <v>3</v>
      </c>
      <c r="F84" s="9">
        <v>4</v>
      </c>
      <c r="G84" s="9">
        <v>17</v>
      </c>
      <c r="H84" s="9">
        <v>18</v>
      </c>
      <c r="I84" s="9">
        <v>19</v>
      </c>
      <c r="J84" s="9">
        <v>20</v>
      </c>
      <c r="K84" s="9">
        <v>21</v>
      </c>
      <c r="L84" s="100" t="s">
        <v>21</v>
      </c>
    </row>
    <row r="85" spans="1:12">
      <c r="A85" s="106"/>
      <c r="B85" s="8">
        <f t="shared" si="1"/>
        <v>2002</v>
      </c>
      <c r="C85" s="9">
        <v>5</v>
      </c>
      <c r="D85" s="9">
        <v>6</v>
      </c>
      <c r="E85" s="9">
        <v>7</v>
      </c>
      <c r="F85" s="9">
        <v>8</v>
      </c>
      <c r="G85" s="23"/>
      <c r="H85" s="24"/>
      <c r="I85" s="24"/>
      <c r="J85" s="24"/>
      <c r="K85" s="25"/>
      <c r="L85" s="101"/>
    </row>
    <row r="86" spans="1:12">
      <c r="A86" s="106"/>
      <c r="B86" s="8">
        <f t="shared" si="1"/>
        <v>2003</v>
      </c>
      <c r="C86" s="9">
        <v>9</v>
      </c>
      <c r="D86" s="9">
        <v>10</v>
      </c>
      <c r="E86" s="9">
        <v>11</v>
      </c>
      <c r="F86" s="9">
        <v>12</v>
      </c>
      <c r="G86" s="26"/>
      <c r="H86" s="34"/>
      <c r="I86" s="34"/>
      <c r="J86" s="34"/>
      <c r="K86" s="27"/>
      <c r="L86" s="101"/>
    </row>
    <row r="87" spans="1:12">
      <c r="A87" s="99"/>
      <c r="B87" s="8">
        <f t="shared" si="1"/>
        <v>2004</v>
      </c>
      <c r="C87" s="9">
        <v>13</v>
      </c>
      <c r="D87" s="9">
        <v>14</v>
      </c>
      <c r="E87" s="9">
        <v>15</v>
      </c>
      <c r="F87" s="9">
        <v>16</v>
      </c>
      <c r="G87" s="28"/>
      <c r="H87" s="29"/>
      <c r="I87" s="29"/>
      <c r="J87" s="29"/>
      <c r="K87" s="30"/>
      <c r="L87" s="101"/>
    </row>
    <row r="88" spans="1:12">
      <c r="A88" s="98">
        <v>21</v>
      </c>
      <c r="B88" s="8">
        <f t="shared" si="1"/>
        <v>2101</v>
      </c>
      <c r="C88" s="9">
        <v>22</v>
      </c>
      <c r="D88" s="9">
        <v>23</v>
      </c>
      <c r="E88" s="9">
        <v>24</v>
      </c>
      <c r="F88" s="9">
        <v>25</v>
      </c>
      <c r="G88" s="9">
        <v>38</v>
      </c>
      <c r="H88" s="9">
        <v>39</v>
      </c>
      <c r="I88" s="9">
        <v>40</v>
      </c>
      <c r="J88" s="9">
        <v>41</v>
      </c>
      <c r="K88" s="9">
        <v>42</v>
      </c>
      <c r="L88" s="101"/>
    </row>
    <row r="89" spans="1:12">
      <c r="A89" s="106"/>
      <c r="B89" s="8">
        <f t="shared" si="1"/>
        <v>2102</v>
      </c>
      <c r="C89" s="9">
        <v>26</v>
      </c>
      <c r="D89" s="9">
        <v>27</v>
      </c>
      <c r="E89" s="9">
        <v>28</v>
      </c>
      <c r="F89" s="9">
        <v>29</v>
      </c>
      <c r="G89" s="82"/>
      <c r="H89" s="83"/>
      <c r="I89" s="83"/>
      <c r="J89" s="83"/>
      <c r="K89" s="84"/>
      <c r="L89" s="101"/>
    </row>
    <row r="90" spans="1:12">
      <c r="A90" s="106"/>
      <c r="B90" s="8">
        <f t="shared" si="1"/>
        <v>2103</v>
      </c>
      <c r="C90" s="9">
        <v>30</v>
      </c>
      <c r="D90" s="9">
        <v>31</v>
      </c>
      <c r="E90" s="9">
        <v>32</v>
      </c>
      <c r="F90" s="9">
        <v>33</v>
      </c>
      <c r="G90" s="107"/>
      <c r="H90" s="108"/>
      <c r="I90" s="108"/>
      <c r="J90" s="108"/>
      <c r="K90" s="109"/>
      <c r="L90" s="101"/>
    </row>
    <row r="91" spans="1:12">
      <c r="A91" s="99"/>
      <c r="B91" s="8">
        <f t="shared" si="1"/>
        <v>2104</v>
      </c>
      <c r="C91" s="9">
        <v>34</v>
      </c>
      <c r="D91" s="9">
        <v>35</v>
      </c>
      <c r="E91" s="9">
        <v>36</v>
      </c>
      <c r="F91" s="9">
        <v>37</v>
      </c>
      <c r="G91" s="85"/>
      <c r="H91" s="86"/>
      <c r="I91" s="86"/>
      <c r="J91" s="86"/>
      <c r="K91" s="87"/>
      <c r="L91" s="101"/>
    </row>
    <row r="92" spans="1:12">
      <c r="A92" s="98">
        <v>22</v>
      </c>
      <c r="B92" s="8">
        <f t="shared" si="1"/>
        <v>2201</v>
      </c>
      <c r="C92" s="9">
        <v>43</v>
      </c>
      <c r="D92" s="9">
        <v>44</v>
      </c>
      <c r="E92" s="9">
        <v>45</v>
      </c>
      <c r="F92" s="9">
        <v>46</v>
      </c>
      <c r="G92" s="9">
        <v>59</v>
      </c>
      <c r="H92" s="9">
        <v>60</v>
      </c>
      <c r="I92" s="9">
        <v>61</v>
      </c>
      <c r="J92" s="9">
        <v>62</v>
      </c>
      <c r="K92" s="9">
        <v>63</v>
      </c>
      <c r="L92" s="101"/>
    </row>
    <row r="93" spans="1:12">
      <c r="A93" s="106"/>
      <c r="B93" s="8">
        <f t="shared" si="1"/>
        <v>2202</v>
      </c>
      <c r="C93" s="9">
        <v>47</v>
      </c>
      <c r="D93" s="9">
        <v>48</v>
      </c>
      <c r="E93" s="9">
        <v>49</v>
      </c>
      <c r="F93" s="9">
        <v>50</v>
      </c>
      <c r="G93" s="82"/>
      <c r="H93" s="83"/>
      <c r="I93" s="83"/>
      <c r="J93" s="83"/>
      <c r="K93" s="84"/>
      <c r="L93" s="101"/>
    </row>
    <row r="94" spans="1:12">
      <c r="A94" s="106"/>
      <c r="B94" s="8">
        <f t="shared" si="1"/>
        <v>2203</v>
      </c>
      <c r="C94" s="9">
        <v>51</v>
      </c>
      <c r="D94" s="9">
        <v>52</v>
      </c>
      <c r="E94" s="9">
        <v>53</v>
      </c>
      <c r="F94" s="9">
        <v>54</v>
      </c>
      <c r="G94" s="107"/>
      <c r="H94" s="108"/>
      <c r="I94" s="108"/>
      <c r="J94" s="108"/>
      <c r="K94" s="109"/>
      <c r="L94" s="101"/>
    </row>
    <row r="95" spans="1:12">
      <c r="A95" s="99"/>
      <c r="B95" s="8">
        <f t="shared" si="1"/>
        <v>2204</v>
      </c>
      <c r="C95" s="9">
        <v>55</v>
      </c>
      <c r="D95" s="9">
        <v>56</v>
      </c>
      <c r="E95" s="9">
        <v>57</v>
      </c>
      <c r="F95" s="9">
        <v>58</v>
      </c>
      <c r="G95" s="85"/>
      <c r="H95" s="86"/>
      <c r="I95" s="86"/>
      <c r="J95" s="86"/>
      <c r="K95" s="87"/>
      <c r="L95" s="102"/>
    </row>
    <row r="96" spans="1:12">
      <c r="A96" s="98">
        <v>23</v>
      </c>
      <c r="B96" s="8">
        <f t="shared" si="1"/>
        <v>2301</v>
      </c>
      <c r="C96" s="9">
        <v>1</v>
      </c>
      <c r="D96" s="9">
        <v>2</v>
      </c>
      <c r="E96" s="9">
        <v>3</v>
      </c>
      <c r="F96" s="9">
        <v>4</v>
      </c>
      <c r="G96" s="9">
        <v>17</v>
      </c>
      <c r="H96" s="9">
        <v>18</v>
      </c>
      <c r="I96" s="9">
        <v>19</v>
      </c>
      <c r="J96" s="9">
        <v>20</v>
      </c>
      <c r="K96" s="20">
        <v>21</v>
      </c>
      <c r="L96" s="100" t="s">
        <v>22</v>
      </c>
    </row>
    <row r="97" spans="1:12">
      <c r="A97" s="106"/>
      <c r="B97" s="8">
        <f t="shared" si="1"/>
        <v>2302</v>
      </c>
      <c r="C97" s="9">
        <v>5</v>
      </c>
      <c r="D97" s="9">
        <v>6</v>
      </c>
      <c r="E97" s="9">
        <v>7</v>
      </c>
      <c r="F97" s="9">
        <v>8</v>
      </c>
      <c r="G97" s="82"/>
      <c r="H97" s="83"/>
      <c r="I97" s="83"/>
      <c r="J97" s="83"/>
      <c r="K97" s="83"/>
      <c r="L97" s="101"/>
    </row>
    <row r="98" spans="1:12">
      <c r="A98" s="106"/>
      <c r="B98" s="8">
        <f t="shared" si="1"/>
        <v>2303</v>
      </c>
      <c r="C98" s="9">
        <v>9</v>
      </c>
      <c r="D98" s="9">
        <v>10</v>
      </c>
      <c r="E98" s="9">
        <v>11</v>
      </c>
      <c r="F98" s="9">
        <v>12</v>
      </c>
      <c r="G98" s="107"/>
      <c r="H98" s="108"/>
      <c r="I98" s="108"/>
      <c r="J98" s="108"/>
      <c r="K98" s="108"/>
      <c r="L98" s="101"/>
    </row>
    <row r="99" spans="1:12">
      <c r="A99" s="99"/>
      <c r="B99" s="8">
        <f t="shared" si="1"/>
        <v>2304</v>
      </c>
      <c r="C99" s="9">
        <v>13</v>
      </c>
      <c r="D99" s="9">
        <v>14</v>
      </c>
      <c r="E99" s="9">
        <v>15</v>
      </c>
      <c r="F99" s="9">
        <v>16</v>
      </c>
      <c r="G99" s="85"/>
      <c r="H99" s="86"/>
      <c r="I99" s="86"/>
      <c r="J99" s="86"/>
      <c r="K99" s="86"/>
      <c r="L99" s="101"/>
    </row>
    <row r="100" spans="1:12">
      <c r="A100" s="98">
        <v>24</v>
      </c>
      <c r="B100" s="8">
        <f t="shared" si="1"/>
        <v>2401</v>
      </c>
      <c r="C100" s="9">
        <v>22</v>
      </c>
      <c r="D100" s="9">
        <v>23</v>
      </c>
      <c r="E100" s="9">
        <v>24</v>
      </c>
      <c r="F100" s="9">
        <v>25</v>
      </c>
      <c r="G100" s="9">
        <v>38</v>
      </c>
      <c r="H100" s="9">
        <v>39</v>
      </c>
      <c r="I100" s="9">
        <v>40</v>
      </c>
      <c r="J100" s="9">
        <v>41</v>
      </c>
      <c r="K100" s="20">
        <v>42</v>
      </c>
      <c r="L100" s="101"/>
    </row>
    <row r="101" spans="1:12">
      <c r="A101" s="106"/>
      <c r="B101" s="8">
        <f t="shared" si="1"/>
        <v>2402</v>
      </c>
      <c r="C101" s="9">
        <v>26</v>
      </c>
      <c r="D101" s="9">
        <v>27</v>
      </c>
      <c r="E101" s="9">
        <v>28</v>
      </c>
      <c r="F101" s="9">
        <v>29</v>
      </c>
      <c r="G101" s="82"/>
      <c r="H101" s="83"/>
      <c r="I101" s="83"/>
      <c r="J101" s="83"/>
      <c r="K101" s="83"/>
      <c r="L101" s="101"/>
    </row>
    <row r="102" spans="1:12">
      <c r="A102" s="106"/>
      <c r="B102" s="8">
        <f t="shared" si="1"/>
        <v>2403</v>
      </c>
      <c r="C102" s="9">
        <v>30</v>
      </c>
      <c r="D102" s="9">
        <v>31</v>
      </c>
      <c r="E102" s="9">
        <v>32</v>
      </c>
      <c r="F102" s="9">
        <v>33</v>
      </c>
      <c r="G102" s="107"/>
      <c r="H102" s="108"/>
      <c r="I102" s="108"/>
      <c r="J102" s="108"/>
      <c r="K102" s="108"/>
      <c r="L102" s="101"/>
    </row>
    <row r="103" spans="1:12">
      <c r="A103" s="99"/>
      <c r="B103" s="8">
        <f t="shared" si="1"/>
        <v>2404</v>
      </c>
      <c r="C103" s="9">
        <v>34</v>
      </c>
      <c r="D103" s="9">
        <v>35</v>
      </c>
      <c r="E103" s="9">
        <v>36</v>
      </c>
      <c r="F103" s="9">
        <v>37</v>
      </c>
      <c r="G103" s="85"/>
      <c r="H103" s="86"/>
      <c r="I103" s="86"/>
      <c r="J103" s="86"/>
      <c r="K103" s="86"/>
      <c r="L103" s="101"/>
    </row>
    <row r="104" spans="1:12">
      <c r="A104" s="98">
        <v>25</v>
      </c>
      <c r="B104" s="8">
        <f t="shared" si="1"/>
        <v>2501</v>
      </c>
      <c r="C104" s="9">
        <v>43</v>
      </c>
      <c r="D104" s="9">
        <v>44</v>
      </c>
      <c r="E104" s="9">
        <v>45</v>
      </c>
      <c r="F104" s="9">
        <v>46</v>
      </c>
      <c r="G104" s="9">
        <v>59</v>
      </c>
      <c r="H104" s="9">
        <v>60</v>
      </c>
      <c r="I104" s="9">
        <v>61</v>
      </c>
      <c r="J104" s="9">
        <v>62</v>
      </c>
      <c r="K104" s="20">
        <v>63</v>
      </c>
      <c r="L104" s="101"/>
    </row>
    <row r="105" spans="1:12">
      <c r="A105" s="106"/>
      <c r="B105" s="8">
        <f t="shared" si="1"/>
        <v>2502</v>
      </c>
      <c r="C105" s="9">
        <v>47</v>
      </c>
      <c r="D105" s="9">
        <v>48</v>
      </c>
      <c r="E105" s="9">
        <v>49</v>
      </c>
      <c r="F105" s="9">
        <v>50</v>
      </c>
      <c r="G105" s="82"/>
      <c r="H105" s="83"/>
      <c r="I105" s="83"/>
      <c r="J105" s="83"/>
      <c r="K105" s="83"/>
      <c r="L105" s="101"/>
    </row>
    <row r="106" spans="1:12">
      <c r="A106" s="106"/>
      <c r="B106" s="8">
        <f t="shared" si="1"/>
        <v>2503</v>
      </c>
      <c r="C106" s="9">
        <v>51</v>
      </c>
      <c r="D106" s="9">
        <v>52</v>
      </c>
      <c r="E106" s="9">
        <v>53</v>
      </c>
      <c r="F106" s="9">
        <v>54</v>
      </c>
      <c r="G106" s="107"/>
      <c r="H106" s="108"/>
      <c r="I106" s="108"/>
      <c r="J106" s="108"/>
      <c r="K106" s="108"/>
      <c r="L106" s="101"/>
    </row>
    <row r="107" spans="1:12">
      <c r="A107" s="99"/>
      <c r="B107" s="8">
        <f t="shared" si="1"/>
        <v>2504</v>
      </c>
      <c r="C107" s="9">
        <v>55</v>
      </c>
      <c r="D107" s="9">
        <v>56</v>
      </c>
      <c r="E107" s="9">
        <v>57</v>
      </c>
      <c r="F107" s="9">
        <v>58</v>
      </c>
      <c r="G107" s="85"/>
      <c r="H107" s="86"/>
      <c r="I107" s="86"/>
      <c r="J107" s="86"/>
      <c r="K107" s="86"/>
      <c r="L107" s="101"/>
    </row>
    <row r="108" spans="1:12">
      <c r="A108" s="98">
        <v>26</v>
      </c>
      <c r="B108" s="98" t="s">
        <v>25</v>
      </c>
      <c r="C108" s="9">
        <v>64</v>
      </c>
      <c r="D108" s="9">
        <v>65</v>
      </c>
      <c r="E108" s="9">
        <v>66</v>
      </c>
      <c r="F108" s="9">
        <v>67</v>
      </c>
      <c r="G108" s="131"/>
      <c r="H108" s="132"/>
      <c r="I108" s="132"/>
      <c r="J108" s="133"/>
      <c r="K108" s="9">
        <v>70</v>
      </c>
      <c r="L108" s="101"/>
    </row>
    <row r="109" spans="1:12">
      <c r="A109" s="106"/>
      <c r="B109" s="106"/>
      <c r="C109" s="110"/>
      <c r="D109" s="111"/>
      <c r="E109" s="111"/>
      <c r="F109" s="112"/>
      <c r="G109" s="110"/>
      <c r="H109" s="111"/>
      <c r="I109" s="111"/>
      <c r="J109" s="112"/>
      <c r="K109" s="9">
        <v>71</v>
      </c>
      <c r="L109" s="101"/>
    </row>
    <row r="110" spans="1:12">
      <c r="A110" s="99"/>
      <c r="B110" s="99"/>
      <c r="C110" s="113"/>
      <c r="D110" s="114"/>
      <c r="E110" s="114"/>
      <c r="F110" s="115"/>
      <c r="G110" s="113"/>
      <c r="H110" s="114"/>
      <c r="I110" s="114"/>
      <c r="J110" s="115"/>
      <c r="K110" s="19"/>
      <c r="L110" s="102"/>
    </row>
  </sheetData>
  <mergeCells count="83"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  <mergeCell ref="N4:N7"/>
    <mergeCell ref="S4:S7"/>
    <mergeCell ref="G9:K11"/>
    <mergeCell ref="A12:A15"/>
    <mergeCell ref="G13:K15"/>
    <mergeCell ref="S9:S12"/>
    <mergeCell ref="A4:A7"/>
    <mergeCell ref="B4:B7"/>
    <mergeCell ref="G5:K7"/>
    <mergeCell ref="I4:K4"/>
    <mergeCell ref="L4:L19"/>
    <mergeCell ref="G17:K19"/>
    <mergeCell ref="A8:A11"/>
    <mergeCell ref="A16:A19"/>
    <mergeCell ref="S14:S17"/>
    <mergeCell ref="S19:S22"/>
    <mergeCell ref="A20:A23"/>
    <mergeCell ref="G21:K23"/>
    <mergeCell ref="A24:A27"/>
    <mergeCell ref="G25:K27"/>
    <mergeCell ref="A28:A31"/>
    <mergeCell ref="G29:K31"/>
    <mergeCell ref="A32:A35"/>
    <mergeCell ref="G33:K35"/>
    <mergeCell ref="A36:A39"/>
    <mergeCell ref="G37:K39"/>
    <mergeCell ref="A40:A43"/>
    <mergeCell ref="G41:K43"/>
    <mergeCell ref="A44:A47"/>
    <mergeCell ref="G45:K47"/>
    <mergeCell ref="A48:A51"/>
    <mergeCell ref="A52:A55"/>
    <mergeCell ref="G53:K55"/>
    <mergeCell ref="A56:A59"/>
    <mergeCell ref="G57:K59"/>
    <mergeCell ref="A60:A63"/>
    <mergeCell ref="G61:K63"/>
    <mergeCell ref="A64:A67"/>
    <mergeCell ref="G65:K67"/>
    <mergeCell ref="A92:A95"/>
    <mergeCell ref="G93:K95"/>
    <mergeCell ref="L72:L83"/>
    <mergeCell ref="A68:A71"/>
    <mergeCell ref="G69:K71"/>
    <mergeCell ref="A72:A75"/>
    <mergeCell ref="A76:A79"/>
    <mergeCell ref="G77:K79"/>
    <mergeCell ref="L60:L71"/>
    <mergeCell ref="A80:A83"/>
    <mergeCell ref="G81:K83"/>
    <mergeCell ref="A84:A87"/>
    <mergeCell ref="A88:A91"/>
    <mergeCell ref="G89:K91"/>
    <mergeCell ref="L84:L95"/>
    <mergeCell ref="A96:A99"/>
    <mergeCell ref="L96:L110"/>
    <mergeCell ref="G97:K99"/>
    <mergeCell ref="A100:A103"/>
    <mergeCell ref="G101:K103"/>
    <mergeCell ref="A104:A107"/>
    <mergeCell ref="G105:K107"/>
    <mergeCell ref="A108:A110"/>
    <mergeCell ref="B108:B110"/>
    <mergeCell ref="G109:J110"/>
    <mergeCell ref="G108:J108"/>
    <mergeCell ref="C109:F110"/>
    <mergeCell ref="S24:S27"/>
    <mergeCell ref="S29:S32"/>
    <mergeCell ref="S34:S37"/>
    <mergeCell ref="L20:L35"/>
    <mergeCell ref="L48:L59"/>
    <mergeCell ref="S39:S42"/>
    <mergeCell ref="L36:L47"/>
  </mergeCells>
  <conditionalFormatting sqref="F14">
    <cfRule type="cellIs" dxfId="274" priority="32" operator="equal">
      <formula>"Ногоон"</formula>
    </cfRule>
    <cfRule type="cellIs" dxfId="273" priority="33" operator="equal">
      <formula>"Улаан"</formula>
    </cfRule>
  </conditionalFormatting>
  <conditionalFormatting sqref="C8:K8 C12:K12 C9:G9 C10:F11 C16:K16 C13:G13 C14:F15 C104:K104 C17:G17 C18:F19 C20:K20 C24:K24 C21:G21 C22:F23 C28:K28 C25:G25 C26:F27 C29:G29 C30:F31 C32:K32 C33:G33 C34:F35 C96:K96 C100:K100 C97:G97 C98:F99 C101:G101 C102:F103 C105:G105 C106:F108 G108 K108:K110 C36:K36 C40:K40 C37:G37 C38:F39 C44:K44 C41:G41 C42:F43 C45:G45 C46:F47 C48:K48 C52:K52 C49:G49 C50:F51 C56:K56 C53:G53 C54:F55 C57:G57 C58:F59 C60:K60 C64:K64 C61:G61 C62:F63 C68:K68 C65:G65 C66:F67 C69:G69 C70:F71 C72:K72 C76:K76 C73:G73 C74:F75 C80:K80 C77:G77 C78:F79 C81:G81 C82:F83 C84:K84 C88:K88 C85:G85 C86:F87 C92:K92 C89:G89 C90:F91 C93:G93 C94:F95">
    <cfRule type="cellIs" dxfId="272" priority="31" operator="equal">
      <formula>"Улаан"</formula>
    </cfRule>
  </conditionalFormatting>
  <conditionalFormatting sqref="F26">
    <cfRule type="cellIs" dxfId="271" priority="29" operator="equal">
      <formula>"Ногоон"</formula>
    </cfRule>
    <cfRule type="cellIs" dxfId="270" priority="30" operator="equal">
      <formula>"Улаан"</formula>
    </cfRule>
  </conditionalFormatting>
  <conditionalFormatting sqref="F50">
    <cfRule type="cellIs" dxfId="269" priority="25" operator="equal">
      <formula>"Ногоон"</formula>
    </cfRule>
    <cfRule type="cellIs" dxfId="268" priority="26" operator="equal">
      <formula>"Улаан"</formula>
    </cfRule>
  </conditionalFormatting>
  <conditionalFormatting sqref="F98">
    <cfRule type="cellIs" dxfId="267" priority="17" operator="equal">
      <formula>"Ногоон"</formula>
    </cfRule>
    <cfRule type="cellIs" dxfId="266" priority="18" operator="equal">
      <formula>"Улаан"</formula>
    </cfRule>
  </conditionalFormatting>
  <conditionalFormatting sqref="F42">
    <cfRule type="cellIs" dxfId="265" priority="15" operator="equal">
      <formula>"Ногоон"</formula>
    </cfRule>
    <cfRule type="cellIs" dxfId="264" priority="16" operator="equal">
      <formula>"Улаан"</formula>
    </cfRule>
  </conditionalFormatting>
  <conditionalFormatting sqref="F54">
    <cfRule type="cellIs" dxfId="263" priority="13" operator="equal">
      <formula>"Ногоон"</formula>
    </cfRule>
    <cfRule type="cellIs" dxfId="262" priority="14" operator="equal">
      <formula>"Улаан"</formula>
    </cfRule>
  </conditionalFormatting>
  <conditionalFormatting sqref="F62">
    <cfRule type="cellIs" dxfId="261" priority="11" operator="equal">
      <formula>"Ногоон"</formula>
    </cfRule>
    <cfRule type="cellIs" dxfId="260" priority="12" operator="equal">
      <formula>"Улаан"</formula>
    </cfRule>
  </conditionalFormatting>
  <conditionalFormatting sqref="F66">
    <cfRule type="cellIs" dxfId="259" priority="9" operator="equal">
      <formula>"Ногоон"</formula>
    </cfRule>
    <cfRule type="cellIs" dxfId="258" priority="10" operator="equal">
      <formula>"Улаан"</formula>
    </cfRule>
  </conditionalFormatting>
  <conditionalFormatting sqref="F74">
    <cfRule type="cellIs" dxfId="257" priority="7" operator="equal">
      <formula>"Ногоон"</formula>
    </cfRule>
    <cfRule type="cellIs" dxfId="256" priority="8" operator="equal">
      <formula>"Улаан"</formula>
    </cfRule>
  </conditionalFormatting>
  <conditionalFormatting sqref="F78">
    <cfRule type="cellIs" dxfId="255" priority="5" operator="equal">
      <formula>"Ногоон"</formula>
    </cfRule>
    <cfRule type="cellIs" dxfId="254" priority="6" operator="equal">
      <formula>"Улаан"</formula>
    </cfRule>
  </conditionalFormatting>
  <conditionalFormatting sqref="F86">
    <cfRule type="cellIs" dxfId="253" priority="3" operator="equal">
      <formula>"Ногоон"</formula>
    </cfRule>
    <cfRule type="cellIs" dxfId="252" priority="4" operator="equal">
      <formula>"Улаан"</formula>
    </cfRule>
  </conditionalFormatting>
  <conditionalFormatting sqref="F90">
    <cfRule type="cellIs" dxfId="251" priority="1" operator="equal">
      <formula>"Ногоон"</formula>
    </cfRule>
    <cfRule type="cellIs" dxfId="250" priority="2" operator="equal">
      <formula>"Улаан"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5D94-E4A0-4ADD-9792-40471BC10DCA}">
  <dimension ref="A1:W95"/>
  <sheetViews>
    <sheetView topLeftCell="K1" workbookViewId="0">
      <selection activeCell="O8" sqref="O8"/>
    </sheetView>
  </sheetViews>
  <sheetFormatPr defaultRowHeight="15"/>
  <cols>
    <col min="15" max="15" width="9.7109375" bestFit="1" customWidth="1"/>
    <col min="22" max="22" width="10.140625" bestFit="1" customWidth="1"/>
  </cols>
  <sheetData>
    <row r="1" spans="1:23">
      <c r="A1" s="77">
        <v>209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2"/>
      <c r="O1" s="3"/>
      <c r="P1" s="4"/>
      <c r="Q1" s="3"/>
      <c r="R1" s="3"/>
      <c r="S1" s="3"/>
      <c r="T1" s="3"/>
      <c r="U1" s="3"/>
      <c r="V1" s="3"/>
      <c r="W1" s="3"/>
    </row>
    <row r="2" spans="1:23">
      <c r="A2" s="80" t="s">
        <v>1</v>
      </c>
      <c r="B2" s="81" t="s">
        <v>2</v>
      </c>
      <c r="C2" s="82" t="s">
        <v>3</v>
      </c>
      <c r="D2" s="83"/>
      <c r="E2" s="83"/>
      <c r="F2" s="83"/>
      <c r="G2" s="84"/>
      <c r="H2" s="88" t="s">
        <v>4</v>
      </c>
      <c r="I2" s="88" t="s">
        <v>4</v>
      </c>
      <c r="J2" s="81" t="s">
        <v>5</v>
      </c>
      <c r="K2" s="89" t="s">
        <v>6</v>
      </c>
      <c r="L2" s="81" t="s">
        <v>7</v>
      </c>
      <c r="M2" s="80" t="s">
        <v>8</v>
      </c>
      <c r="N2" s="2"/>
      <c r="P2" s="5"/>
      <c r="Q2" s="2"/>
      <c r="R2" s="2"/>
      <c r="S2" s="2"/>
      <c r="U2" s="2"/>
      <c r="V2" s="2"/>
      <c r="W2" s="2"/>
    </row>
    <row r="3" spans="1:23">
      <c r="A3" s="80"/>
      <c r="B3" s="81"/>
      <c r="C3" s="85"/>
      <c r="D3" s="86"/>
      <c r="E3" s="86"/>
      <c r="F3" s="86"/>
      <c r="G3" s="87"/>
      <c r="H3" s="88"/>
      <c r="I3" s="88"/>
      <c r="J3" s="81"/>
      <c r="K3" s="89"/>
      <c r="L3" s="81"/>
      <c r="M3" s="80"/>
      <c r="N3" s="2"/>
      <c r="P3" s="90"/>
      <c r="Q3" s="90"/>
      <c r="R3" s="18"/>
      <c r="S3" s="2"/>
      <c r="T3" s="2"/>
      <c r="U3" s="2"/>
      <c r="W3" s="2"/>
    </row>
    <row r="4" spans="1:23">
      <c r="A4" s="80">
        <v>1</v>
      </c>
      <c r="B4" s="8" t="str">
        <f>INT((ROW()-4)/2)+1 &amp; TEXT(MOD(ROW()-4,2)+1,"00")</f>
        <v>101</v>
      </c>
      <c r="C4" s="9">
        <v>1</v>
      </c>
      <c r="D4" s="10">
        <v>2</v>
      </c>
      <c r="E4" s="9">
        <v>3</v>
      </c>
      <c r="F4" s="9">
        <v>4</v>
      </c>
      <c r="G4" s="9">
        <v>5</v>
      </c>
      <c r="H4" s="10">
        <v>11</v>
      </c>
      <c r="I4" s="9">
        <v>12</v>
      </c>
      <c r="J4" s="9">
        <v>13</v>
      </c>
      <c r="K4" s="9">
        <v>14</v>
      </c>
      <c r="L4" s="9">
        <v>15</v>
      </c>
      <c r="M4" s="91" t="s">
        <v>9</v>
      </c>
      <c r="O4" s="92">
        <v>46000</v>
      </c>
      <c r="P4" s="12" t="s">
        <v>10</v>
      </c>
      <c r="Q4" s="13">
        <f>SUM(Q5:Q7)</f>
        <v>674</v>
      </c>
      <c r="R4" s="73">
        <v>1</v>
      </c>
      <c r="T4" s="92" t="s">
        <v>9</v>
      </c>
      <c r="U4" s="12" t="s">
        <v>10</v>
      </c>
      <c r="V4" s="13">
        <f>SUM(V5:V7)</f>
        <v>90</v>
      </c>
      <c r="W4" s="73">
        <v>1</v>
      </c>
    </row>
    <row r="5" spans="1:23">
      <c r="A5" s="80"/>
      <c r="B5" s="8" t="str">
        <f t="shared" ref="B5:B47" si="0">INT((ROW()-4)/2)+1 &amp; TEXT(MOD(ROW()-4,2)+1,"00")</f>
        <v>102</v>
      </c>
      <c r="C5" s="9">
        <v>6</v>
      </c>
      <c r="D5" s="9">
        <v>7</v>
      </c>
      <c r="E5" s="10">
        <v>8</v>
      </c>
      <c r="F5" s="9">
        <v>9</v>
      </c>
      <c r="G5" s="9">
        <v>10</v>
      </c>
      <c r="H5" s="95"/>
      <c r="I5" s="96"/>
      <c r="J5" s="96"/>
      <c r="K5" s="96"/>
      <c r="L5" s="97"/>
      <c r="M5" s="91"/>
      <c r="O5" s="93"/>
      <c r="P5" s="14" t="s">
        <v>11</v>
      </c>
      <c r="Q5" s="13" cm="1">
        <f t="array" ref="Q5">CountByColor(C4:L95, P5)</f>
        <v>22</v>
      </c>
      <c r="R5" s="74">
        <v>3.2599999999999997E-2</v>
      </c>
      <c r="T5" s="93"/>
      <c r="U5" s="14" t="s">
        <v>11</v>
      </c>
      <c r="V5" s="13" cm="1">
        <f t="array" ref="V5">CountByColor(C4:L15, U5)</f>
        <v>1</v>
      </c>
      <c r="W5" s="74">
        <v>1.11E-2</v>
      </c>
    </row>
    <row r="6" spans="1:23">
      <c r="A6" s="98">
        <v>2</v>
      </c>
      <c r="B6" s="8" t="str">
        <f t="shared" si="0"/>
        <v>201</v>
      </c>
      <c r="C6" s="9">
        <v>16</v>
      </c>
      <c r="D6" s="9">
        <v>17</v>
      </c>
      <c r="E6" s="9">
        <v>18</v>
      </c>
      <c r="F6" s="9">
        <v>19</v>
      </c>
      <c r="G6" s="9">
        <v>20</v>
      </c>
      <c r="H6" s="31">
        <v>26</v>
      </c>
      <c r="I6" s="31">
        <v>27</v>
      </c>
      <c r="J6" s="31">
        <v>28</v>
      </c>
      <c r="K6" s="31">
        <v>29</v>
      </c>
      <c r="L6" s="31">
        <v>30</v>
      </c>
      <c r="M6" s="91"/>
      <c r="O6" s="93"/>
      <c r="P6" s="15" t="s">
        <v>12</v>
      </c>
      <c r="Q6" s="13" cm="1">
        <f t="array" ref="Q6">CountByColor(C4:L95, P6)</f>
        <v>41</v>
      </c>
      <c r="R6" s="74">
        <v>6.0499999999999998E-2</v>
      </c>
      <c r="T6" s="93"/>
      <c r="U6" s="15" t="s">
        <v>12</v>
      </c>
      <c r="V6" s="13" cm="1">
        <f t="array" ref="V6">CountByColor(C4:L15, U6)</f>
        <v>6</v>
      </c>
      <c r="W6" s="74">
        <v>6.6699999999999995E-2</v>
      </c>
    </row>
    <row r="7" spans="1:23">
      <c r="A7" s="99"/>
      <c r="B7" s="8" t="str">
        <f t="shared" si="0"/>
        <v>202</v>
      </c>
      <c r="C7" s="9">
        <v>21</v>
      </c>
      <c r="D7" s="9">
        <v>22</v>
      </c>
      <c r="E7" s="9">
        <v>23</v>
      </c>
      <c r="F7" s="9">
        <v>24</v>
      </c>
      <c r="G7" s="9">
        <v>25</v>
      </c>
      <c r="H7" s="95"/>
      <c r="I7" s="96"/>
      <c r="J7" s="96"/>
      <c r="K7" s="96"/>
      <c r="L7" s="97"/>
      <c r="M7" s="91"/>
      <c r="O7" s="94"/>
      <c r="P7" s="16" t="s">
        <v>13</v>
      </c>
      <c r="Q7" s="13" cm="1">
        <f t="array" ref="Q7">CountByColor(C4:L95, P7)</f>
        <v>611</v>
      </c>
      <c r="R7" s="74">
        <v>0.90659999999999996</v>
      </c>
      <c r="T7" s="94"/>
      <c r="U7" s="16" t="s">
        <v>13</v>
      </c>
      <c r="V7" s="13" cm="1">
        <f t="array" ref="V7">CountByColor(C4:L15, U7)</f>
        <v>83</v>
      </c>
      <c r="W7" s="74">
        <v>0.92220000000000002</v>
      </c>
    </row>
    <row r="8" spans="1:23">
      <c r="A8" s="98">
        <v>3</v>
      </c>
      <c r="B8" s="8" t="str">
        <f t="shared" si="0"/>
        <v>301</v>
      </c>
      <c r="C8" s="9">
        <v>31</v>
      </c>
      <c r="D8" s="9">
        <v>32</v>
      </c>
      <c r="E8" s="9">
        <v>33</v>
      </c>
      <c r="F8" s="9">
        <v>34</v>
      </c>
      <c r="G8" s="9">
        <v>35</v>
      </c>
      <c r="H8" s="9">
        <v>41</v>
      </c>
      <c r="I8" s="9">
        <v>42</v>
      </c>
      <c r="J8" s="9">
        <v>43</v>
      </c>
      <c r="K8" s="9">
        <v>44</v>
      </c>
      <c r="L8" s="9">
        <v>45</v>
      </c>
      <c r="M8" s="91"/>
      <c r="O8" s="21"/>
      <c r="U8" s="1"/>
      <c r="V8" s="1"/>
    </row>
    <row r="9" spans="1:23">
      <c r="A9" s="99"/>
      <c r="B9" s="8" t="str">
        <f t="shared" si="0"/>
        <v>302</v>
      </c>
      <c r="C9" s="9">
        <v>36</v>
      </c>
      <c r="D9" s="10">
        <v>37</v>
      </c>
      <c r="E9" s="9">
        <v>38</v>
      </c>
      <c r="F9" s="9">
        <v>39</v>
      </c>
      <c r="G9" s="9">
        <v>40</v>
      </c>
      <c r="H9" s="95"/>
      <c r="I9" s="96"/>
      <c r="J9" s="96"/>
      <c r="K9" s="96"/>
      <c r="L9" s="97"/>
      <c r="M9" s="91"/>
      <c r="T9" s="92" t="s">
        <v>14</v>
      </c>
      <c r="U9" s="12" t="s">
        <v>10</v>
      </c>
      <c r="V9" s="13">
        <f>SUM(V10:V12)</f>
        <v>90</v>
      </c>
      <c r="W9" s="73">
        <v>1</v>
      </c>
    </row>
    <row r="10" spans="1:23">
      <c r="A10" s="98">
        <v>4</v>
      </c>
      <c r="B10" s="8" t="str">
        <f t="shared" si="0"/>
        <v>401</v>
      </c>
      <c r="C10" s="9">
        <v>46</v>
      </c>
      <c r="D10" s="9">
        <v>47</v>
      </c>
      <c r="E10" s="9">
        <v>48</v>
      </c>
      <c r="F10" s="9">
        <v>49</v>
      </c>
      <c r="G10" s="9">
        <v>50</v>
      </c>
      <c r="H10" s="31">
        <v>56</v>
      </c>
      <c r="I10" s="31">
        <v>57</v>
      </c>
      <c r="J10" s="31">
        <v>58</v>
      </c>
      <c r="K10" s="31">
        <v>59</v>
      </c>
      <c r="L10" s="31">
        <v>60</v>
      </c>
      <c r="M10" s="91"/>
      <c r="T10" s="93"/>
      <c r="U10" s="14" t="s">
        <v>11</v>
      </c>
      <c r="V10" s="13" cm="1">
        <f t="array" ref="V10">CountByColor(C16:L27, U10)</f>
        <v>2</v>
      </c>
      <c r="W10" s="74">
        <v>2.2200000000000001E-2</v>
      </c>
    </row>
    <row r="11" spans="1:23">
      <c r="A11" s="99"/>
      <c r="B11" s="8" t="str">
        <f t="shared" si="0"/>
        <v>402</v>
      </c>
      <c r="C11" s="9">
        <v>51</v>
      </c>
      <c r="D11" s="10">
        <v>52</v>
      </c>
      <c r="E11" s="9">
        <v>53</v>
      </c>
      <c r="F11" s="11">
        <v>54</v>
      </c>
      <c r="G11" s="10">
        <v>55</v>
      </c>
      <c r="H11" s="95"/>
      <c r="I11" s="96"/>
      <c r="J11" s="96"/>
      <c r="K11" s="96"/>
      <c r="L11" s="97"/>
      <c r="M11" s="91"/>
      <c r="T11" s="93"/>
      <c r="U11" s="15" t="s">
        <v>12</v>
      </c>
      <c r="V11" s="13" cm="1">
        <f t="array" ref="V11">CountByColor(C16:L27, U11)</f>
        <v>0</v>
      </c>
      <c r="W11" s="73">
        <v>0</v>
      </c>
    </row>
    <row r="12" spans="1:23">
      <c r="A12" s="98">
        <v>5</v>
      </c>
      <c r="B12" s="8" t="str">
        <f t="shared" si="0"/>
        <v>501</v>
      </c>
      <c r="C12" s="9">
        <v>61</v>
      </c>
      <c r="D12" s="9">
        <v>62</v>
      </c>
      <c r="E12" s="9">
        <v>63</v>
      </c>
      <c r="F12" s="9">
        <v>64</v>
      </c>
      <c r="G12" s="9">
        <v>65</v>
      </c>
      <c r="H12" s="9">
        <v>71</v>
      </c>
      <c r="I12" s="9">
        <v>72</v>
      </c>
      <c r="J12" s="9">
        <v>73</v>
      </c>
      <c r="K12" s="9">
        <v>74</v>
      </c>
      <c r="L12" s="9">
        <v>75</v>
      </c>
      <c r="M12" s="91"/>
      <c r="T12" s="94"/>
      <c r="U12" s="16" t="s">
        <v>13</v>
      </c>
      <c r="V12" s="13" cm="1">
        <f t="array" ref="V12">CountByColor(C16:L27, U12)</f>
        <v>88</v>
      </c>
      <c r="W12" s="74">
        <v>0.9778</v>
      </c>
    </row>
    <row r="13" spans="1:23">
      <c r="A13" s="99"/>
      <c r="B13" s="8" t="str">
        <f t="shared" si="0"/>
        <v>502</v>
      </c>
      <c r="C13" s="9">
        <v>66</v>
      </c>
      <c r="D13" s="9">
        <v>67</v>
      </c>
      <c r="E13" s="9">
        <v>68</v>
      </c>
      <c r="F13" s="9">
        <v>69</v>
      </c>
      <c r="G13" s="9">
        <v>70</v>
      </c>
      <c r="H13" s="95"/>
      <c r="I13" s="96"/>
      <c r="J13" s="96"/>
      <c r="K13" s="96"/>
      <c r="L13" s="97"/>
      <c r="M13" s="91"/>
      <c r="T13" s="1"/>
    </row>
    <row r="14" spans="1:23">
      <c r="A14" s="98">
        <v>6</v>
      </c>
      <c r="B14" s="8" t="str">
        <f t="shared" si="0"/>
        <v>601</v>
      </c>
      <c r="C14" s="9">
        <v>76</v>
      </c>
      <c r="D14" s="9">
        <v>77</v>
      </c>
      <c r="E14" s="9">
        <v>78</v>
      </c>
      <c r="F14" s="9">
        <v>79</v>
      </c>
      <c r="G14" s="9">
        <v>80</v>
      </c>
      <c r="H14" s="31">
        <v>86</v>
      </c>
      <c r="I14" s="31">
        <v>87</v>
      </c>
      <c r="J14" s="31">
        <v>88</v>
      </c>
      <c r="K14" s="31">
        <v>89</v>
      </c>
      <c r="L14" s="31">
        <v>90</v>
      </c>
      <c r="M14" s="91"/>
      <c r="T14" s="92" t="s">
        <v>15</v>
      </c>
      <c r="U14" s="12" t="s">
        <v>10</v>
      </c>
      <c r="V14" s="13">
        <f>SUM(V15:V17)</f>
        <v>90</v>
      </c>
      <c r="W14" s="73">
        <v>1</v>
      </c>
    </row>
    <row r="15" spans="1:23">
      <c r="A15" s="99"/>
      <c r="B15" s="8" t="str">
        <f t="shared" si="0"/>
        <v>602</v>
      </c>
      <c r="C15" s="9">
        <v>81</v>
      </c>
      <c r="D15" s="9">
        <v>82</v>
      </c>
      <c r="E15" s="9">
        <v>83</v>
      </c>
      <c r="F15" s="9">
        <v>84</v>
      </c>
      <c r="G15" s="9">
        <v>85</v>
      </c>
      <c r="H15" s="95"/>
      <c r="I15" s="96"/>
      <c r="J15" s="96"/>
      <c r="K15" s="96"/>
      <c r="L15" s="97"/>
      <c r="M15" s="91"/>
      <c r="T15" s="93"/>
      <c r="U15" s="14" t="s">
        <v>11</v>
      </c>
      <c r="V15" s="13" cm="1">
        <f t="array" ref="V15">CountByColor(C28:L39, U15)</f>
        <v>3</v>
      </c>
      <c r="W15" s="74">
        <v>3.3300000000000003E-2</v>
      </c>
    </row>
    <row r="16" spans="1:23">
      <c r="A16" s="98">
        <v>7</v>
      </c>
      <c r="B16" s="8" t="str">
        <f t="shared" si="0"/>
        <v>701</v>
      </c>
      <c r="C16" s="11">
        <v>1</v>
      </c>
      <c r="D16" s="9">
        <v>2</v>
      </c>
      <c r="E16" s="9">
        <v>3</v>
      </c>
      <c r="F16" s="9">
        <v>4</v>
      </c>
      <c r="G16" s="9">
        <v>5</v>
      </c>
      <c r="H16" s="9">
        <v>11</v>
      </c>
      <c r="I16" s="9">
        <v>12</v>
      </c>
      <c r="J16" s="9">
        <v>13</v>
      </c>
      <c r="K16" s="9">
        <v>14</v>
      </c>
      <c r="L16" s="9">
        <v>15</v>
      </c>
      <c r="M16" s="91" t="s">
        <v>14</v>
      </c>
      <c r="T16" s="93"/>
      <c r="U16" s="15" t="s">
        <v>12</v>
      </c>
      <c r="V16" s="13" cm="1">
        <f t="array" ref="V16">CountByColor(C28:L39, U16)</f>
        <v>0</v>
      </c>
      <c r="W16" s="73">
        <v>0</v>
      </c>
    </row>
    <row r="17" spans="1:23">
      <c r="A17" s="99"/>
      <c r="B17" s="8" t="str">
        <f t="shared" si="0"/>
        <v>702</v>
      </c>
      <c r="C17" s="9">
        <v>6</v>
      </c>
      <c r="D17" s="9">
        <v>7</v>
      </c>
      <c r="E17" s="9">
        <v>8</v>
      </c>
      <c r="F17" s="9">
        <v>9</v>
      </c>
      <c r="G17" s="9">
        <v>10</v>
      </c>
      <c r="H17" s="95"/>
      <c r="I17" s="96"/>
      <c r="J17" s="96"/>
      <c r="K17" s="96"/>
      <c r="L17" s="97"/>
      <c r="M17" s="91"/>
      <c r="T17" s="94"/>
      <c r="U17" s="16" t="s">
        <v>13</v>
      </c>
      <c r="V17" s="13" cm="1">
        <f t="array" ref="V17">CountByColor(C28:L39, U17)</f>
        <v>87</v>
      </c>
      <c r="W17" s="74">
        <v>0.9667</v>
      </c>
    </row>
    <row r="18" spans="1:23">
      <c r="A18" s="98">
        <v>8</v>
      </c>
      <c r="B18" s="8" t="str">
        <f t="shared" si="0"/>
        <v>801</v>
      </c>
      <c r="C18" s="9">
        <v>16</v>
      </c>
      <c r="D18" s="9">
        <v>17</v>
      </c>
      <c r="E18" s="9">
        <v>18</v>
      </c>
      <c r="F18" s="9">
        <v>19</v>
      </c>
      <c r="G18" s="9">
        <v>20</v>
      </c>
      <c r="H18" s="31">
        <v>26</v>
      </c>
      <c r="I18" s="31">
        <v>27</v>
      </c>
      <c r="J18" s="31">
        <v>28</v>
      </c>
      <c r="K18" s="31">
        <v>29</v>
      </c>
      <c r="L18" s="31">
        <v>30</v>
      </c>
      <c r="M18" s="91"/>
      <c r="T18" s="1"/>
    </row>
    <row r="19" spans="1:23">
      <c r="A19" s="99"/>
      <c r="B19" s="8" t="str">
        <f t="shared" si="0"/>
        <v>802</v>
      </c>
      <c r="C19" s="9">
        <v>21</v>
      </c>
      <c r="D19" s="9">
        <v>22</v>
      </c>
      <c r="E19" s="9">
        <v>23</v>
      </c>
      <c r="F19" s="9">
        <v>24</v>
      </c>
      <c r="G19" s="9">
        <v>25</v>
      </c>
      <c r="H19" s="95"/>
      <c r="I19" s="96"/>
      <c r="J19" s="96"/>
      <c r="K19" s="96"/>
      <c r="L19" s="97"/>
      <c r="M19" s="91"/>
      <c r="T19" s="92" t="s">
        <v>16</v>
      </c>
      <c r="U19" s="12" t="s">
        <v>10</v>
      </c>
      <c r="V19" s="13">
        <f>SUM(V20:V22)</f>
        <v>67</v>
      </c>
      <c r="W19" s="73">
        <v>1</v>
      </c>
    </row>
    <row r="20" spans="1:23">
      <c r="A20" s="98">
        <v>9</v>
      </c>
      <c r="B20" s="8" t="str">
        <f t="shared" si="0"/>
        <v>901</v>
      </c>
      <c r="C20" s="9">
        <v>31</v>
      </c>
      <c r="D20" s="9">
        <v>32</v>
      </c>
      <c r="E20" s="9">
        <v>33</v>
      </c>
      <c r="F20" s="9">
        <v>34</v>
      </c>
      <c r="G20" s="9">
        <v>35</v>
      </c>
      <c r="H20" s="9">
        <v>41</v>
      </c>
      <c r="I20" s="9">
        <v>42</v>
      </c>
      <c r="J20" s="9">
        <v>43</v>
      </c>
      <c r="K20" s="9">
        <v>44</v>
      </c>
      <c r="L20" s="9">
        <v>45</v>
      </c>
      <c r="M20" s="91"/>
      <c r="T20" s="93"/>
      <c r="U20" s="14" t="s">
        <v>11</v>
      </c>
      <c r="V20" s="13" cm="1">
        <f t="array" ref="V20">CountByColor(C40:L49, U20)</f>
        <v>2</v>
      </c>
      <c r="W20" s="74">
        <v>2.9899999999999999E-2</v>
      </c>
    </row>
    <row r="21" spans="1:23">
      <c r="A21" s="99"/>
      <c r="B21" s="8" t="str">
        <f t="shared" si="0"/>
        <v>902</v>
      </c>
      <c r="C21" s="9">
        <v>36</v>
      </c>
      <c r="D21" s="9">
        <v>37</v>
      </c>
      <c r="E21" s="9">
        <v>38</v>
      </c>
      <c r="F21" s="9">
        <v>39</v>
      </c>
      <c r="G21" s="9">
        <v>40</v>
      </c>
      <c r="H21" s="95"/>
      <c r="I21" s="96"/>
      <c r="J21" s="96"/>
      <c r="K21" s="96"/>
      <c r="L21" s="97"/>
      <c r="M21" s="91"/>
      <c r="S21" s="1"/>
      <c r="T21" s="93"/>
      <c r="U21" s="15" t="s">
        <v>12</v>
      </c>
      <c r="V21" s="13" cm="1">
        <f t="array" ref="V21">CountByColor(C40:L49, U21)</f>
        <v>0</v>
      </c>
      <c r="W21" s="73">
        <v>0</v>
      </c>
    </row>
    <row r="22" spans="1:23">
      <c r="A22" s="98">
        <v>10</v>
      </c>
      <c r="B22" s="8" t="str">
        <f t="shared" si="0"/>
        <v>1001</v>
      </c>
      <c r="C22" s="9">
        <v>46</v>
      </c>
      <c r="D22" s="9">
        <v>47</v>
      </c>
      <c r="E22" s="9">
        <v>48</v>
      </c>
      <c r="F22" s="9">
        <v>49</v>
      </c>
      <c r="G22" s="9">
        <v>50</v>
      </c>
      <c r="H22" s="31">
        <v>56</v>
      </c>
      <c r="I22" s="31">
        <v>57</v>
      </c>
      <c r="J22" s="31">
        <v>58</v>
      </c>
      <c r="K22" s="31">
        <v>59</v>
      </c>
      <c r="L22" s="31">
        <v>60</v>
      </c>
      <c r="M22" s="91"/>
      <c r="T22" s="94"/>
      <c r="U22" s="16" t="s">
        <v>13</v>
      </c>
      <c r="V22" s="13" cm="1">
        <f t="array" ref="V22">CountByColor(C40:L49, U22)</f>
        <v>65</v>
      </c>
      <c r="W22" s="74">
        <v>0.97009999999999996</v>
      </c>
    </row>
    <row r="23" spans="1:23">
      <c r="A23" s="99"/>
      <c r="B23" s="8" t="str">
        <f t="shared" si="0"/>
        <v>1002</v>
      </c>
      <c r="C23" s="9">
        <v>51</v>
      </c>
      <c r="D23" s="9">
        <v>52</v>
      </c>
      <c r="E23" s="9">
        <v>53</v>
      </c>
      <c r="F23" s="9">
        <v>54</v>
      </c>
      <c r="G23" s="9">
        <v>55</v>
      </c>
      <c r="H23" s="95"/>
      <c r="I23" s="96"/>
      <c r="J23" s="96"/>
      <c r="K23" s="96"/>
      <c r="L23" s="97"/>
      <c r="M23" s="91"/>
      <c r="T23" s="1"/>
    </row>
    <row r="24" spans="1:23">
      <c r="A24" s="98">
        <v>11</v>
      </c>
      <c r="B24" s="8" t="str">
        <f t="shared" si="0"/>
        <v>1101</v>
      </c>
      <c r="C24" s="9">
        <v>61</v>
      </c>
      <c r="D24" s="9">
        <v>62</v>
      </c>
      <c r="E24" s="9">
        <v>63</v>
      </c>
      <c r="F24" s="9">
        <v>64</v>
      </c>
      <c r="G24" s="9">
        <v>65</v>
      </c>
      <c r="H24" s="9">
        <v>71</v>
      </c>
      <c r="I24" s="9">
        <v>72</v>
      </c>
      <c r="J24" s="9">
        <v>73</v>
      </c>
      <c r="K24" s="9">
        <v>74</v>
      </c>
      <c r="L24" s="9">
        <v>75</v>
      </c>
      <c r="M24" s="91"/>
      <c r="T24" s="92" t="s">
        <v>19</v>
      </c>
      <c r="U24" s="12" t="s">
        <v>10</v>
      </c>
      <c r="V24" s="13">
        <f>SUM(V25:V27)</f>
        <v>90</v>
      </c>
      <c r="W24" s="73">
        <v>1</v>
      </c>
    </row>
    <row r="25" spans="1:23">
      <c r="A25" s="99"/>
      <c r="B25" s="8" t="str">
        <f t="shared" si="0"/>
        <v>1102</v>
      </c>
      <c r="C25" s="9">
        <v>66</v>
      </c>
      <c r="D25" s="9">
        <v>67</v>
      </c>
      <c r="E25" s="9">
        <v>68</v>
      </c>
      <c r="F25" s="9">
        <v>69</v>
      </c>
      <c r="G25" s="9">
        <v>70</v>
      </c>
      <c r="H25" s="95"/>
      <c r="I25" s="96"/>
      <c r="J25" s="96"/>
      <c r="K25" s="96"/>
      <c r="L25" s="97"/>
      <c r="M25" s="91"/>
      <c r="T25" s="93"/>
      <c r="U25" s="14" t="s">
        <v>11</v>
      </c>
      <c r="V25" s="13" cm="1">
        <f t="array" ref="V25">CountByColor(C50:L61, U25)</f>
        <v>0</v>
      </c>
      <c r="W25" s="73">
        <v>0</v>
      </c>
    </row>
    <row r="26" spans="1:23">
      <c r="A26" s="98">
        <v>12</v>
      </c>
      <c r="B26" s="8" t="str">
        <f t="shared" si="0"/>
        <v>1201</v>
      </c>
      <c r="C26" s="9">
        <v>76</v>
      </c>
      <c r="D26" s="9">
        <v>77</v>
      </c>
      <c r="E26" s="9">
        <v>78</v>
      </c>
      <c r="F26" s="9">
        <v>79</v>
      </c>
      <c r="G26" s="9">
        <v>80</v>
      </c>
      <c r="H26" s="31">
        <v>86</v>
      </c>
      <c r="I26" s="31">
        <v>87</v>
      </c>
      <c r="J26" s="31">
        <v>88</v>
      </c>
      <c r="K26" s="31">
        <v>89</v>
      </c>
      <c r="L26" s="31">
        <v>90</v>
      </c>
      <c r="M26" s="91"/>
      <c r="T26" s="93"/>
      <c r="U26" s="15" t="s">
        <v>12</v>
      </c>
      <c r="V26" s="13" cm="1">
        <f t="array" ref="V26">CountByColor(C50:L61, U26)</f>
        <v>28</v>
      </c>
      <c r="W26" s="74">
        <v>0.31109999999999999</v>
      </c>
    </row>
    <row r="27" spans="1:23">
      <c r="A27" s="99"/>
      <c r="B27" s="8" t="str">
        <f t="shared" si="0"/>
        <v>1202</v>
      </c>
      <c r="C27" s="9">
        <v>81</v>
      </c>
      <c r="D27" s="9">
        <v>82</v>
      </c>
      <c r="E27" s="9">
        <v>83</v>
      </c>
      <c r="F27" s="9">
        <v>84</v>
      </c>
      <c r="G27" s="11">
        <v>85</v>
      </c>
      <c r="H27" s="95"/>
      <c r="I27" s="96"/>
      <c r="J27" s="96"/>
      <c r="K27" s="96"/>
      <c r="L27" s="97"/>
      <c r="M27" s="91"/>
      <c r="T27" s="94"/>
      <c r="U27" s="16" t="s">
        <v>13</v>
      </c>
      <c r="V27" s="13" cm="1">
        <f t="array" ref="V27">CountByColor(C50:L61, U27)</f>
        <v>62</v>
      </c>
      <c r="W27" s="74">
        <v>0.68889999999999996</v>
      </c>
    </row>
    <row r="28" spans="1:23">
      <c r="A28" s="98">
        <v>13</v>
      </c>
      <c r="B28" s="8" t="str">
        <f t="shared" si="0"/>
        <v>1301</v>
      </c>
      <c r="C28" s="9">
        <v>1</v>
      </c>
      <c r="D28" s="9">
        <v>2</v>
      </c>
      <c r="E28" s="9">
        <v>3</v>
      </c>
      <c r="F28" s="9">
        <v>4</v>
      </c>
      <c r="G28" s="9">
        <v>5</v>
      </c>
      <c r="H28" s="9">
        <v>11</v>
      </c>
      <c r="I28" s="9">
        <v>12</v>
      </c>
      <c r="J28" s="9">
        <v>13</v>
      </c>
      <c r="K28" s="9">
        <v>14</v>
      </c>
      <c r="L28" s="9">
        <v>15</v>
      </c>
      <c r="M28" s="91" t="s">
        <v>15</v>
      </c>
      <c r="T28" s="1"/>
    </row>
    <row r="29" spans="1:23">
      <c r="A29" s="99"/>
      <c r="B29" s="8" t="str">
        <f t="shared" si="0"/>
        <v>1302</v>
      </c>
      <c r="C29" s="9">
        <v>6</v>
      </c>
      <c r="D29" s="9">
        <v>7</v>
      </c>
      <c r="E29" s="9">
        <v>8</v>
      </c>
      <c r="F29" s="9">
        <v>9</v>
      </c>
      <c r="G29" s="9">
        <v>10</v>
      </c>
      <c r="H29" s="95"/>
      <c r="I29" s="96"/>
      <c r="J29" s="96"/>
      <c r="K29" s="96"/>
      <c r="L29" s="97"/>
      <c r="M29" s="91"/>
      <c r="T29" s="92" t="s">
        <v>20</v>
      </c>
      <c r="U29" s="12" t="s">
        <v>10</v>
      </c>
      <c r="V29" s="13">
        <f>SUM(V30:V32)</f>
        <v>90</v>
      </c>
      <c r="W29" s="73">
        <v>1</v>
      </c>
    </row>
    <row r="30" spans="1:23">
      <c r="A30" s="98">
        <v>14</v>
      </c>
      <c r="B30" s="8" t="str">
        <f t="shared" si="0"/>
        <v>1401</v>
      </c>
      <c r="C30" s="11">
        <v>16</v>
      </c>
      <c r="D30" s="9">
        <v>17</v>
      </c>
      <c r="E30" s="9">
        <v>18</v>
      </c>
      <c r="F30" s="9">
        <v>19</v>
      </c>
      <c r="G30" s="9">
        <v>20</v>
      </c>
      <c r="H30" s="31">
        <v>26</v>
      </c>
      <c r="I30" s="31">
        <v>27</v>
      </c>
      <c r="J30" s="31">
        <v>28</v>
      </c>
      <c r="K30" s="31">
        <v>29</v>
      </c>
      <c r="L30" s="31">
        <v>30</v>
      </c>
      <c r="M30" s="91"/>
      <c r="T30" s="93"/>
      <c r="U30" s="14" t="s">
        <v>11</v>
      </c>
      <c r="V30" s="13" cm="1">
        <f t="array" ref="V30">CountByColor(C62:L73, U30)</f>
        <v>5</v>
      </c>
      <c r="W30" s="74">
        <v>5.5599999999999997E-2</v>
      </c>
    </row>
    <row r="31" spans="1:23">
      <c r="A31" s="99"/>
      <c r="B31" s="8" t="str">
        <f t="shared" si="0"/>
        <v>1402</v>
      </c>
      <c r="C31" s="9">
        <v>21</v>
      </c>
      <c r="D31" s="9">
        <v>22</v>
      </c>
      <c r="E31" s="9">
        <v>23</v>
      </c>
      <c r="F31" s="9">
        <v>24</v>
      </c>
      <c r="G31" s="11">
        <v>25</v>
      </c>
      <c r="H31" s="95"/>
      <c r="I31" s="96"/>
      <c r="J31" s="96"/>
      <c r="K31" s="96"/>
      <c r="L31" s="97"/>
      <c r="M31" s="91"/>
      <c r="P31" s="6"/>
      <c r="T31" s="93"/>
      <c r="U31" s="15" t="s">
        <v>12</v>
      </c>
      <c r="V31" s="13" cm="1">
        <f t="array" ref="V31">CountByColor(C62:L73, U31)</f>
        <v>0</v>
      </c>
      <c r="W31" s="73">
        <v>0</v>
      </c>
    </row>
    <row r="32" spans="1:23">
      <c r="A32" s="98">
        <v>15</v>
      </c>
      <c r="B32" s="8" t="str">
        <f t="shared" si="0"/>
        <v>1501</v>
      </c>
      <c r="C32" s="9">
        <v>31</v>
      </c>
      <c r="D32" s="9">
        <v>32</v>
      </c>
      <c r="E32" s="9">
        <v>33</v>
      </c>
      <c r="F32" s="9">
        <v>34</v>
      </c>
      <c r="G32" s="9">
        <v>35</v>
      </c>
      <c r="H32" s="9">
        <v>41</v>
      </c>
      <c r="I32" s="9">
        <v>42</v>
      </c>
      <c r="J32" s="9">
        <v>43</v>
      </c>
      <c r="K32" s="9">
        <v>44</v>
      </c>
      <c r="L32" s="9">
        <v>45</v>
      </c>
      <c r="M32" s="91"/>
      <c r="P32" s="6"/>
      <c r="T32" s="94"/>
      <c r="U32" s="16" t="s">
        <v>13</v>
      </c>
      <c r="V32" s="13" cm="1">
        <f t="array" ref="V32">CountByColor(C62:L73, U32)</f>
        <v>85</v>
      </c>
      <c r="W32" s="74">
        <v>0.94440000000000002</v>
      </c>
    </row>
    <row r="33" spans="1:23">
      <c r="A33" s="99"/>
      <c r="B33" s="8" t="str">
        <f t="shared" si="0"/>
        <v>1502</v>
      </c>
      <c r="C33" s="9">
        <v>36</v>
      </c>
      <c r="D33" s="9">
        <v>37</v>
      </c>
      <c r="E33" s="9">
        <v>38</v>
      </c>
      <c r="F33" s="9">
        <v>39</v>
      </c>
      <c r="G33" s="9">
        <v>40</v>
      </c>
      <c r="H33" s="95"/>
      <c r="I33" s="96"/>
      <c r="J33" s="96"/>
      <c r="K33" s="96"/>
      <c r="L33" s="97"/>
      <c r="M33" s="91"/>
      <c r="P33" s="6"/>
      <c r="T33" s="1"/>
    </row>
    <row r="34" spans="1:23">
      <c r="A34" s="98">
        <v>16</v>
      </c>
      <c r="B34" s="8" t="str">
        <f t="shared" si="0"/>
        <v>1601</v>
      </c>
      <c r="C34" s="11">
        <v>46</v>
      </c>
      <c r="D34" s="9">
        <v>47</v>
      </c>
      <c r="E34" s="9">
        <v>48</v>
      </c>
      <c r="F34" s="9">
        <v>49</v>
      </c>
      <c r="G34" s="9">
        <v>50</v>
      </c>
      <c r="H34" s="31">
        <v>56</v>
      </c>
      <c r="I34" s="31">
        <v>57</v>
      </c>
      <c r="J34" s="31">
        <v>58</v>
      </c>
      <c r="K34" s="31">
        <v>59</v>
      </c>
      <c r="L34" s="31">
        <v>60</v>
      </c>
      <c r="M34" s="91"/>
      <c r="P34" s="6"/>
      <c r="T34" s="92" t="s">
        <v>21</v>
      </c>
      <c r="U34" s="12" t="s">
        <v>10</v>
      </c>
      <c r="V34" s="13">
        <f>SUM(V35:V37)</f>
        <v>90</v>
      </c>
      <c r="W34" s="73">
        <v>1</v>
      </c>
    </row>
    <row r="35" spans="1:23">
      <c r="A35" s="99"/>
      <c r="B35" s="8" t="str">
        <f t="shared" si="0"/>
        <v>1602</v>
      </c>
      <c r="C35" s="9">
        <v>51</v>
      </c>
      <c r="D35" s="9">
        <v>52</v>
      </c>
      <c r="E35" s="9">
        <v>53</v>
      </c>
      <c r="F35" s="9">
        <v>54</v>
      </c>
      <c r="G35" s="9">
        <v>55</v>
      </c>
      <c r="H35" s="95"/>
      <c r="I35" s="96"/>
      <c r="J35" s="96"/>
      <c r="K35" s="96"/>
      <c r="L35" s="97"/>
      <c r="M35" s="91"/>
      <c r="P35" s="6"/>
      <c r="T35" s="93"/>
      <c r="U35" s="14" t="s">
        <v>11</v>
      </c>
      <c r="V35" s="13" cm="1">
        <f t="array" ref="V35">CountByColor(C74:L85, U35)</f>
        <v>4</v>
      </c>
      <c r="W35" s="74">
        <v>4.4400000000000002E-2</v>
      </c>
    </row>
    <row r="36" spans="1:23">
      <c r="A36" s="98">
        <v>17</v>
      </c>
      <c r="B36" s="8" t="str">
        <f t="shared" si="0"/>
        <v>1701</v>
      </c>
      <c r="C36" s="9">
        <v>61</v>
      </c>
      <c r="D36" s="9">
        <v>62</v>
      </c>
      <c r="E36" s="9">
        <v>63</v>
      </c>
      <c r="F36" s="9">
        <v>64</v>
      </c>
      <c r="G36" s="9">
        <v>65</v>
      </c>
      <c r="H36" s="9">
        <v>71</v>
      </c>
      <c r="I36" s="9">
        <v>72</v>
      </c>
      <c r="J36" s="9">
        <v>73</v>
      </c>
      <c r="K36" s="9">
        <v>74</v>
      </c>
      <c r="L36" s="9">
        <v>75</v>
      </c>
      <c r="M36" s="91"/>
      <c r="O36" s="1"/>
      <c r="P36" s="6"/>
      <c r="T36" s="93"/>
      <c r="U36" s="15" t="s">
        <v>12</v>
      </c>
      <c r="V36" s="13" cm="1">
        <f t="array" ref="V36">CountByColor(C74:L85, U36)</f>
        <v>4</v>
      </c>
      <c r="W36" s="74">
        <v>4.4400000000000002E-2</v>
      </c>
    </row>
    <row r="37" spans="1:23">
      <c r="A37" s="99"/>
      <c r="B37" s="8" t="str">
        <f t="shared" si="0"/>
        <v>1702</v>
      </c>
      <c r="C37" s="9">
        <v>66</v>
      </c>
      <c r="D37" s="9">
        <v>67</v>
      </c>
      <c r="E37" s="9">
        <v>68</v>
      </c>
      <c r="F37" s="9">
        <v>69</v>
      </c>
      <c r="G37" s="9">
        <v>70</v>
      </c>
      <c r="H37" s="95"/>
      <c r="I37" s="96"/>
      <c r="J37" s="96"/>
      <c r="K37" s="96"/>
      <c r="L37" s="97"/>
      <c r="M37" s="91"/>
      <c r="O37" s="1"/>
      <c r="P37" s="6"/>
      <c r="T37" s="94"/>
      <c r="U37" s="16" t="s">
        <v>13</v>
      </c>
      <c r="V37" s="13" cm="1">
        <f t="array" ref="V37">CountByColor(C74:L85, U37)</f>
        <v>82</v>
      </c>
      <c r="W37" s="74">
        <v>0.91110000000000002</v>
      </c>
    </row>
    <row r="38" spans="1:23">
      <c r="A38" s="98">
        <v>18</v>
      </c>
      <c r="B38" s="8" t="str">
        <f t="shared" si="0"/>
        <v>1801</v>
      </c>
      <c r="C38" s="9">
        <v>76</v>
      </c>
      <c r="D38" s="9">
        <v>77</v>
      </c>
      <c r="E38" s="9">
        <v>78</v>
      </c>
      <c r="F38" s="9">
        <v>79</v>
      </c>
      <c r="G38" s="9">
        <v>80</v>
      </c>
      <c r="H38" s="31">
        <v>86</v>
      </c>
      <c r="I38" s="31">
        <v>87</v>
      </c>
      <c r="J38" s="31">
        <v>88</v>
      </c>
      <c r="K38" s="31">
        <v>89</v>
      </c>
      <c r="L38" s="31">
        <v>90</v>
      </c>
      <c r="M38" s="91"/>
      <c r="O38" s="1"/>
      <c r="T38" s="1"/>
    </row>
    <row r="39" spans="1:23">
      <c r="A39" s="99"/>
      <c r="B39" s="8" t="str">
        <f t="shared" si="0"/>
        <v>1802</v>
      </c>
      <c r="C39" s="9">
        <v>81</v>
      </c>
      <c r="D39" s="9">
        <v>82</v>
      </c>
      <c r="E39" s="9">
        <v>83</v>
      </c>
      <c r="F39" s="9">
        <v>84</v>
      </c>
      <c r="G39" s="9">
        <v>85</v>
      </c>
      <c r="H39" s="95"/>
      <c r="I39" s="96"/>
      <c r="J39" s="96"/>
      <c r="K39" s="96"/>
      <c r="L39" s="97"/>
      <c r="M39" s="91"/>
      <c r="O39" s="17"/>
      <c r="T39" s="92" t="s">
        <v>22</v>
      </c>
      <c r="U39" s="12" t="s">
        <v>10</v>
      </c>
      <c r="V39" s="13">
        <f>SUM(V40:V42)</f>
        <v>67</v>
      </c>
      <c r="W39" s="73">
        <v>1</v>
      </c>
    </row>
    <row r="40" spans="1:23">
      <c r="A40" s="98">
        <v>19</v>
      </c>
      <c r="B40" s="8" t="str">
        <f t="shared" si="0"/>
        <v>1901</v>
      </c>
      <c r="C40" s="11">
        <v>1</v>
      </c>
      <c r="D40" s="9">
        <v>2</v>
      </c>
      <c r="E40" s="9">
        <v>3</v>
      </c>
      <c r="F40" s="9">
        <v>4</v>
      </c>
      <c r="G40" s="9">
        <v>5</v>
      </c>
      <c r="H40" s="9">
        <v>11</v>
      </c>
      <c r="I40" s="9">
        <v>12</v>
      </c>
      <c r="J40" s="9">
        <v>13</v>
      </c>
      <c r="K40" s="9">
        <v>14</v>
      </c>
      <c r="L40" s="9">
        <v>15</v>
      </c>
      <c r="M40" s="100" t="s">
        <v>16</v>
      </c>
      <c r="N40" s="1"/>
      <c r="O40" s="6"/>
      <c r="S40" s="1"/>
      <c r="T40" s="93"/>
      <c r="U40" s="14" t="s">
        <v>11</v>
      </c>
      <c r="V40" s="13" cm="1">
        <f t="array" ref="V40">CountByColor(C86:L95, U40)</f>
        <v>5</v>
      </c>
      <c r="W40" s="74">
        <v>7.46E-2</v>
      </c>
    </row>
    <row r="41" spans="1:23">
      <c r="A41" s="99"/>
      <c r="B41" s="8" t="str">
        <f t="shared" si="0"/>
        <v>1902</v>
      </c>
      <c r="C41" s="9">
        <v>6</v>
      </c>
      <c r="D41" s="9">
        <v>7</v>
      </c>
      <c r="E41" s="9">
        <v>8</v>
      </c>
      <c r="F41" s="9">
        <v>9</v>
      </c>
      <c r="G41" s="9">
        <v>10</v>
      </c>
      <c r="H41" s="95"/>
      <c r="I41" s="96"/>
      <c r="J41" s="96"/>
      <c r="K41" s="96"/>
      <c r="L41" s="97"/>
      <c r="M41" s="101"/>
      <c r="N41" s="1"/>
      <c r="O41" s="6"/>
      <c r="S41" s="1"/>
      <c r="T41" s="93"/>
      <c r="U41" s="15" t="s">
        <v>12</v>
      </c>
      <c r="V41" s="13" cm="1">
        <f t="array" ref="V41">CountByColor(C86:L95, U41)</f>
        <v>3</v>
      </c>
      <c r="W41" s="74">
        <v>4.48E-2</v>
      </c>
    </row>
    <row r="42" spans="1:23">
      <c r="A42" s="98">
        <v>20</v>
      </c>
      <c r="B42" s="8" t="str">
        <f t="shared" si="0"/>
        <v>2001</v>
      </c>
      <c r="C42" s="9">
        <v>16</v>
      </c>
      <c r="D42" s="9">
        <v>17</v>
      </c>
      <c r="E42" s="9">
        <v>18</v>
      </c>
      <c r="F42" s="9">
        <v>19</v>
      </c>
      <c r="G42" s="9">
        <v>20</v>
      </c>
      <c r="H42" s="31">
        <v>26</v>
      </c>
      <c r="I42" s="31">
        <v>27</v>
      </c>
      <c r="J42" s="31">
        <v>28</v>
      </c>
      <c r="K42" s="31">
        <v>29</v>
      </c>
      <c r="L42" s="31">
        <v>30</v>
      </c>
      <c r="M42" s="101"/>
      <c r="N42" s="1"/>
      <c r="O42" s="6"/>
      <c r="S42" s="1"/>
      <c r="T42" s="94"/>
      <c r="U42" s="16" t="s">
        <v>13</v>
      </c>
      <c r="V42" s="13" cm="1">
        <f t="array" ref="V42">CountByColor(C86:L95, U42)</f>
        <v>59</v>
      </c>
      <c r="W42" s="74">
        <v>0.88060000000000005</v>
      </c>
    </row>
    <row r="43" spans="1:23">
      <c r="A43" s="99"/>
      <c r="B43" s="8" t="str">
        <f t="shared" si="0"/>
        <v>2002</v>
      </c>
      <c r="C43" s="9">
        <v>21</v>
      </c>
      <c r="D43" s="9">
        <v>22</v>
      </c>
      <c r="E43" s="9">
        <v>23</v>
      </c>
      <c r="F43" s="9">
        <v>24</v>
      </c>
      <c r="G43" s="9">
        <v>25</v>
      </c>
      <c r="H43" s="95"/>
      <c r="I43" s="96"/>
      <c r="J43" s="96"/>
      <c r="K43" s="96"/>
      <c r="L43" s="97"/>
      <c r="M43" s="101"/>
      <c r="N43" s="1"/>
      <c r="O43" s="6"/>
      <c r="S43" s="1"/>
    </row>
    <row r="44" spans="1:23">
      <c r="A44" s="98">
        <v>21</v>
      </c>
      <c r="B44" s="8" t="str">
        <f t="shared" si="0"/>
        <v>2101</v>
      </c>
      <c r="C44" s="9">
        <v>31</v>
      </c>
      <c r="D44" s="9">
        <v>32</v>
      </c>
      <c r="E44" s="9">
        <v>33</v>
      </c>
      <c r="F44" s="9">
        <v>34</v>
      </c>
      <c r="G44" s="9">
        <v>35</v>
      </c>
      <c r="H44" s="9">
        <v>41</v>
      </c>
      <c r="I44" s="9">
        <v>42</v>
      </c>
      <c r="J44" s="9">
        <v>43</v>
      </c>
      <c r="K44" s="9">
        <v>44</v>
      </c>
      <c r="L44" s="9">
        <v>45</v>
      </c>
      <c r="M44" s="101"/>
      <c r="N44" s="1"/>
      <c r="O44" s="6"/>
      <c r="S44" s="1"/>
    </row>
    <row r="45" spans="1:23">
      <c r="A45" s="99"/>
      <c r="B45" s="8" t="str">
        <f t="shared" si="0"/>
        <v>2102</v>
      </c>
      <c r="C45" s="9">
        <v>36</v>
      </c>
      <c r="D45" s="9">
        <v>37</v>
      </c>
      <c r="E45" s="9">
        <v>38</v>
      </c>
      <c r="F45" s="9">
        <v>39</v>
      </c>
      <c r="G45" s="9">
        <v>40</v>
      </c>
      <c r="H45" s="95"/>
      <c r="I45" s="96"/>
      <c r="J45" s="96"/>
      <c r="K45" s="96"/>
      <c r="L45" s="97"/>
      <c r="M45" s="101"/>
      <c r="N45" s="1"/>
      <c r="O45" s="6"/>
      <c r="S45" s="1"/>
    </row>
    <row r="46" spans="1:23">
      <c r="A46" s="98">
        <v>22</v>
      </c>
      <c r="B46" s="8" t="str">
        <f t="shared" si="0"/>
        <v>2201</v>
      </c>
      <c r="C46" s="9">
        <v>46</v>
      </c>
      <c r="D46" s="9">
        <v>47</v>
      </c>
      <c r="E46" s="9">
        <v>48</v>
      </c>
      <c r="F46" s="9">
        <v>49</v>
      </c>
      <c r="G46" s="9">
        <v>50</v>
      </c>
      <c r="H46" s="31">
        <v>56</v>
      </c>
      <c r="I46" s="31">
        <v>57</v>
      </c>
      <c r="J46" s="31">
        <v>58</v>
      </c>
      <c r="K46" s="31">
        <v>59</v>
      </c>
      <c r="L46" s="31">
        <v>60</v>
      </c>
      <c r="M46" s="101"/>
      <c r="N46" s="1"/>
      <c r="O46" s="6"/>
      <c r="S46" s="1"/>
    </row>
    <row r="47" spans="1:23">
      <c r="A47" s="99"/>
      <c r="B47" s="8" t="str">
        <f t="shared" si="0"/>
        <v>2202</v>
      </c>
      <c r="C47" s="9">
        <v>51</v>
      </c>
      <c r="D47" s="9">
        <v>52</v>
      </c>
      <c r="E47" s="9">
        <v>53</v>
      </c>
      <c r="F47" s="9">
        <v>54</v>
      </c>
      <c r="G47" s="9">
        <v>55</v>
      </c>
      <c r="H47" s="95"/>
      <c r="I47" s="96"/>
      <c r="J47" s="96"/>
      <c r="K47" s="96"/>
      <c r="L47" s="97"/>
      <c r="M47" s="101"/>
      <c r="N47" s="1"/>
      <c r="O47" s="6"/>
      <c r="S47" s="1"/>
    </row>
    <row r="48" spans="1:23">
      <c r="A48" s="98">
        <v>23</v>
      </c>
      <c r="B48" s="98" t="s">
        <v>25</v>
      </c>
      <c r="C48" s="9">
        <v>61</v>
      </c>
      <c r="D48" s="9">
        <v>62</v>
      </c>
      <c r="E48" s="11">
        <v>63</v>
      </c>
      <c r="F48" s="9">
        <v>64</v>
      </c>
      <c r="G48" s="131"/>
      <c r="H48" s="132"/>
      <c r="I48" s="133"/>
      <c r="J48" s="9">
        <v>65</v>
      </c>
      <c r="K48" s="9">
        <v>66</v>
      </c>
      <c r="L48" s="9">
        <v>67</v>
      </c>
      <c r="M48" s="101"/>
      <c r="N48" s="1"/>
      <c r="O48" s="6"/>
      <c r="P48" s="6"/>
      <c r="S48" s="1"/>
    </row>
    <row r="49" spans="1:19">
      <c r="A49" s="99"/>
      <c r="B49" s="99"/>
      <c r="C49" s="131"/>
      <c r="D49" s="132"/>
      <c r="E49" s="132"/>
      <c r="F49" s="132"/>
      <c r="G49" s="132"/>
      <c r="H49" s="132"/>
      <c r="I49" s="132"/>
      <c r="J49" s="132"/>
      <c r="K49" s="132"/>
      <c r="L49" s="133"/>
      <c r="M49" s="102"/>
      <c r="N49" s="1"/>
      <c r="O49" s="6"/>
      <c r="P49" s="6"/>
      <c r="S49" s="1"/>
    </row>
    <row r="50" spans="1:19">
      <c r="A50" s="98">
        <v>1</v>
      </c>
      <c r="B50" s="8">
        <v>103</v>
      </c>
      <c r="C50" s="9">
        <v>1</v>
      </c>
      <c r="D50" s="9">
        <v>2</v>
      </c>
      <c r="E50" s="9">
        <v>3</v>
      </c>
      <c r="F50" s="9">
        <v>4</v>
      </c>
      <c r="G50" s="9">
        <v>5</v>
      </c>
      <c r="H50" s="9">
        <v>11</v>
      </c>
      <c r="I50" s="9">
        <v>12</v>
      </c>
      <c r="J50" s="9">
        <v>13</v>
      </c>
      <c r="K50" s="9">
        <v>14</v>
      </c>
      <c r="L50" s="9">
        <v>15</v>
      </c>
      <c r="M50" s="100" t="s">
        <v>18</v>
      </c>
    </row>
    <row r="51" spans="1:19">
      <c r="A51" s="99"/>
      <c r="B51" s="8">
        <v>104</v>
      </c>
      <c r="C51" s="9">
        <v>6</v>
      </c>
      <c r="D51" s="9">
        <v>7</v>
      </c>
      <c r="E51" s="9">
        <v>8</v>
      </c>
      <c r="F51" s="9">
        <v>9</v>
      </c>
      <c r="G51" s="9">
        <v>10</v>
      </c>
      <c r="H51" s="95"/>
      <c r="I51" s="96"/>
      <c r="J51" s="96"/>
      <c r="K51" s="96"/>
      <c r="L51" s="97"/>
      <c r="M51" s="101"/>
    </row>
    <row r="52" spans="1:19">
      <c r="A52" s="98">
        <v>2</v>
      </c>
      <c r="B52" s="8">
        <v>203</v>
      </c>
      <c r="C52" s="9">
        <v>16</v>
      </c>
      <c r="D52" s="9">
        <v>17</v>
      </c>
      <c r="E52" s="9">
        <v>18</v>
      </c>
      <c r="F52" s="9">
        <v>19</v>
      </c>
      <c r="G52" s="9">
        <v>20</v>
      </c>
      <c r="H52" s="31">
        <v>26</v>
      </c>
      <c r="I52" s="31">
        <v>27</v>
      </c>
      <c r="J52" s="31">
        <v>28</v>
      </c>
      <c r="K52" s="31">
        <v>29</v>
      </c>
      <c r="L52" s="31">
        <v>30</v>
      </c>
      <c r="M52" s="101"/>
    </row>
    <row r="53" spans="1:19">
      <c r="A53" s="99"/>
      <c r="B53" s="8">
        <v>204</v>
      </c>
      <c r="C53" s="9">
        <v>21</v>
      </c>
      <c r="D53" s="9">
        <v>22</v>
      </c>
      <c r="E53" s="9">
        <v>23</v>
      </c>
      <c r="F53" s="9">
        <v>24</v>
      </c>
      <c r="G53" s="9">
        <v>25</v>
      </c>
      <c r="H53" s="95"/>
      <c r="I53" s="96"/>
      <c r="J53" s="96"/>
      <c r="K53" s="96"/>
      <c r="L53" s="97"/>
      <c r="M53" s="101"/>
    </row>
    <row r="54" spans="1:19">
      <c r="A54" s="98">
        <v>3</v>
      </c>
      <c r="B54" s="8">
        <v>303</v>
      </c>
      <c r="C54" s="9">
        <v>31</v>
      </c>
      <c r="D54" s="9">
        <v>32</v>
      </c>
      <c r="E54" s="9">
        <v>33</v>
      </c>
      <c r="F54" s="9">
        <v>34</v>
      </c>
      <c r="G54" s="9">
        <v>35</v>
      </c>
      <c r="H54" s="10">
        <v>41</v>
      </c>
      <c r="I54" s="10">
        <v>42</v>
      </c>
      <c r="J54" s="10">
        <v>43</v>
      </c>
      <c r="K54" s="10">
        <v>44</v>
      </c>
      <c r="L54" s="10">
        <v>45</v>
      </c>
      <c r="M54" s="101"/>
    </row>
    <row r="55" spans="1:19">
      <c r="A55" s="99"/>
      <c r="B55" s="8">
        <v>304</v>
      </c>
      <c r="C55" s="9">
        <v>36</v>
      </c>
      <c r="D55" s="10">
        <v>37</v>
      </c>
      <c r="E55" s="10">
        <v>38</v>
      </c>
      <c r="F55" s="10">
        <v>39</v>
      </c>
      <c r="G55" s="10">
        <v>40</v>
      </c>
      <c r="H55" s="95"/>
      <c r="I55" s="96"/>
      <c r="J55" s="96"/>
      <c r="K55" s="96"/>
      <c r="L55" s="97"/>
      <c r="M55" s="101"/>
    </row>
    <row r="56" spans="1:19">
      <c r="A56" s="98">
        <v>4</v>
      </c>
      <c r="B56" s="8">
        <v>403</v>
      </c>
      <c r="C56" s="10">
        <v>46</v>
      </c>
      <c r="D56" s="10">
        <v>47</v>
      </c>
      <c r="E56" s="10">
        <v>48</v>
      </c>
      <c r="F56" s="10">
        <v>49</v>
      </c>
      <c r="G56" s="10">
        <v>50</v>
      </c>
      <c r="H56" s="32">
        <v>56</v>
      </c>
      <c r="I56" s="32">
        <v>57</v>
      </c>
      <c r="J56" s="32">
        <v>58</v>
      </c>
      <c r="K56" s="32">
        <v>59</v>
      </c>
      <c r="L56" s="32">
        <v>60</v>
      </c>
      <c r="M56" s="101"/>
    </row>
    <row r="57" spans="1:19">
      <c r="A57" s="99"/>
      <c r="B57" s="8">
        <v>404</v>
      </c>
      <c r="C57" s="10">
        <v>51</v>
      </c>
      <c r="D57" s="10">
        <v>52</v>
      </c>
      <c r="E57" s="10">
        <v>53</v>
      </c>
      <c r="F57" s="10">
        <v>54</v>
      </c>
      <c r="G57" s="10">
        <v>55</v>
      </c>
      <c r="H57" s="95"/>
      <c r="I57" s="96"/>
      <c r="J57" s="96"/>
      <c r="K57" s="96"/>
      <c r="L57" s="97"/>
      <c r="M57" s="101"/>
    </row>
    <row r="58" spans="1:19">
      <c r="A58" s="98">
        <v>5</v>
      </c>
      <c r="B58" s="8">
        <v>503</v>
      </c>
      <c r="C58" s="10">
        <v>61</v>
      </c>
      <c r="D58" s="10">
        <v>62</v>
      </c>
      <c r="E58" s="10">
        <v>63</v>
      </c>
      <c r="F58" s="9">
        <v>64</v>
      </c>
      <c r="G58" s="9">
        <v>65</v>
      </c>
      <c r="H58" s="9">
        <v>71</v>
      </c>
      <c r="I58" s="9">
        <v>72</v>
      </c>
      <c r="J58" s="9">
        <v>73</v>
      </c>
      <c r="K58" s="9">
        <v>74</v>
      </c>
      <c r="L58" s="9">
        <v>75</v>
      </c>
      <c r="M58" s="101"/>
    </row>
    <row r="59" spans="1:19">
      <c r="A59" s="99"/>
      <c r="B59" s="8">
        <v>504</v>
      </c>
      <c r="C59" s="9">
        <v>66</v>
      </c>
      <c r="D59" s="9">
        <v>67</v>
      </c>
      <c r="E59" s="9">
        <v>68</v>
      </c>
      <c r="F59" s="9">
        <v>69</v>
      </c>
      <c r="G59" s="9">
        <v>70</v>
      </c>
      <c r="H59" s="95"/>
      <c r="I59" s="96"/>
      <c r="J59" s="96"/>
      <c r="K59" s="96"/>
      <c r="L59" s="97"/>
      <c r="M59" s="101"/>
    </row>
    <row r="60" spans="1:19">
      <c r="A60" s="98">
        <v>6</v>
      </c>
      <c r="B60" s="8">
        <v>603</v>
      </c>
      <c r="C60" s="9">
        <v>76</v>
      </c>
      <c r="D60" s="9">
        <v>77</v>
      </c>
      <c r="E60" s="9">
        <v>78</v>
      </c>
      <c r="F60" s="9">
        <v>79</v>
      </c>
      <c r="G60" s="9">
        <v>80</v>
      </c>
      <c r="H60" s="31">
        <v>86</v>
      </c>
      <c r="I60" s="31">
        <v>87</v>
      </c>
      <c r="J60" s="31">
        <v>88</v>
      </c>
      <c r="K60" s="31">
        <v>89</v>
      </c>
      <c r="L60" s="31">
        <v>90</v>
      </c>
      <c r="M60" s="101"/>
    </row>
    <row r="61" spans="1:19">
      <c r="A61" s="99"/>
      <c r="B61" s="8">
        <v>604</v>
      </c>
      <c r="C61" s="9">
        <v>81</v>
      </c>
      <c r="D61" s="9">
        <v>82</v>
      </c>
      <c r="E61" s="10">
        <v>83</v>
      </c>
      <c r="F61" s="9">
        <v>84</v>
      </c>
      <c r="G61" s="9">
        <v>85</v>
      </c>
      <c r="H61" s="95"/>
      <c r="I61" s="96"/>
      <c r="J61" s="96"/>
      <c r="K61" s="96"/>
      <c r="L61" s="97"/>
      <c r="M61" s="102"/>
    </row>
    <row r="62" spans="1:19">
      <c r="A62" s="98">
        <v>7</v>
      </c>
      <c r="B62" s="8">
        <v>703</v>
      </c>
      <c r="C62" s="9">
        <v>1</v>
      </c>
      <c r="D62" s="9">
        <v>2</v>
      </c>
      <c r="E62" s="9">
        <v>3</v>
      </c>
      <c r="F62" s="9">
        <v>4</v>
      </c>
      <c r="G62" s="9">
        <v>5</v>
      </c>
      <c r="H62" s="9">
        <v>11</v>
      </c>
      <c r="I62" s="9">
        <v>12</v>
      </c>
      <c r="J62" s="9">
        <v>13</v>
      </c>
      <c r="K62" s="9">
        <v>14</v>
      </c>
      <c r="L62" s="9">
        <v>15</v>
      </c>
      <c r="M62" s="100" t="s">
        <v>20</v>
      </c>
    </row>
    <row r="63" spans="1:19">
      <c r="A63" s="99"/>
      <c r="B63" s="8">
        <v>704</v>
      </c>
      <c r="C63" s="9">
        <v>6</v>
      </c>
      <c r="D63" s="9">
        <v>7</v>
      </c>
      <c r="E63" s="9">
        <v>8</v>
      </c>
      <c r="F63" s="11">
        <v>9</v>
      </c>
      <c r="G63" s="9">
        <v>10</v>
      </c>
      <c r="H63" s="95"/>
      <c r="I63" s="96"/>
      <c r="J63" s="96"/>
      <c r="K63" s="96"/>
      <c r="L63" s="97"/>
      <c r="M63" s="101"/>
    </row>
    <row r="64" spans="1:19">
      <c r="A64" s="98">
        <v>8</v>
      </c>
      <c r="B64" s="8">
        <v>803</v>
      </c>
      <c r="C64" s="11">
        <v>16</v>
      </c>
      <c r="D64" s="9">
        <v>17</v>
      </c>
      <c r="E64" s="9">
        <v>18</v>
      </c>
      <c r="F64" s="9">
        <v>19</v>
      </c>
      <c r="G64" s="9">
        <v>20</v>
      </c>
      <c r="H64" s="31">
        <v>26</v>
      </c>
      <c r="I64" s="31">
        <v>27</v>
      </c>
      <c r="J64" s="31">
        <v>28</v>
      </c>
      <c r="K64" s="31">
        <v>29</v>
      </c>
      <c r="L64" s="31">
        <v>30</v>
      </c>
      <c r="M64" s="101"/>
    </row>
    <row r="65" spans="1:13">
      <c r="A65" s="99"/>
      <c r="B65" s="8">
        <v>804</v>
      </c>
      <c r="C65" s="9">
        <v>21</v>
      </c>
      <c r="D65" s="9">
        <v>22</v>
      </c>
      <c r="E65" s="9">
        <v>23</v>
      </c>
      <c r="F65" s="9">
        <v>24</v>
      </c>
      <c r="G65" s="9">
        <v>25</v>
      </c>
      <c r="H65" s="95"/>
      <c r="I65" s="96"/>
      <c r="J65" s="96"/>
      <c r="K65" s="96"/>
      <c r="L65" s="97"/>
      <c r="M65" s="101"/>
    </row>
    <row r="66" spans="1:13">
      <c r="A66" s="98">
        <v>9</v>
      </c>
      <c r="B66" s="8">
        <v>903</v>
      </c>
      <c r="C66" s="9">
        <v>31</v>
      </c>
      <c r="D66" s="9">
        <v>32</v>
      </c>
      <c r="E66" s="9">
        <v>33</v>
      </c>
      <c r="F66" s="9">
        <v>34</v>
      </c>
      <c r="G66" s="9">
        <v>35</v>
      </c>
      <c r="H66" s="9">
        <v>41</v>
      </c>
      <c r="I66" s="11">
        <v>42</v>
      </c>
      <c r="J66" s="9">
        <v>43</v>
      </c>
      <c r="K66" s="9">
        <v>44</v>
      </c>
      <c r="L66" s="9">
        <v>45</v>
      </c>
      <c r="M66" s="101"/>
    </row>
    <row r="67" spans="1:13">
      <c r="A67" s="99"/>
      <c r="B67" s="8">
        <v>904</v>
      </c>
      <c r="C67" s="9">
        <v>36</v>
      </c>
      <c r="D67" s="9">
        <v>37</v>
      </c>
      <c r="E67" s="9">
        <v>38</v>
      </c>
      <c r="F67" s="9">
        <v>39</v>
      </c>
      <c r="G67" s="11">
        <v>40</v>
      </c>
      <c r="H67" s="95"/>
      <c r="I67" s="96"/>
      <c r="J67" s="96"/>
      <c r="K67" s="96"/>
      <c r="L67" s="97"/>
      <c r="M67" s="101"/>
    </row>
    <row r="68" spans="1:13">
      <c r="A68" s="98">
        <v>10</v>
      </c>
      <c r="B68" s="8">
        <v>1003</v>
      </c>
      <c r="C68" s="9">
        <v>46</v>
      </c>
      <c r="D68" s="9">
        <v>47</v>
      </c>
      <c r="E68" s="9">
        <v>48</v>
      </c>
      <c r="F68" s="9">
        <v>49</v>
      </c>
      <c r="G68" s="9">
        <v>50</v>
      </c>
      <c r="H68" s="31">
        <v>56</v>
      </c>
      <c r="I68" s="31">
        <v>57</v>
      </c>
      <c r="J68" s="31">
        <v>58</v>
      </c>
      <c r="K68" s="31">
        <v>59</v>
      </c>
      <c r="L68" s="31">
        <v>60</v>
      </c>
      <c r="M68" s="101"/>
    </row>
    <row r="69" spans="1:13">
      <c r="A69" s="99"/>
      <c r="B69" s="8">
        <v>1004</v>
      </c>
      <c r="C69" s="9">
        <v>51</v>
      </c>
      <c r="D69" s="9">
        <v>52</v>
      </c>
      <c r="E69" s="9">
        <v>53</v>
      </c>
      <c r="F69" s="9">
        <v>54</v>
      </c>
      <c r="G69" s="9">
        <v>55</v>
      </c>
      <c r="H69" s="95"/>
      <c r="I69" s="96"/>
      <c r="J69" s="96"/>
      <c r="K69" s="96"/>
      <c r="L69" s="97"/>
      <c r="M69" s="101"/>
    </row>
    <row r="70" spans="1:13">
      <c r="A70" s="98">
        <v>11</v>
      </c>
      <c r="B70" s="8">
        <v>1103</v>
      </c>
      <c r="C70" s="9">
        <v>61</v>
      </c>
      <c r="D70" s="9">
        <v>62</v>
      </c>
      <c r="E70" s="9">
        <v>63</v>
      </c>
      <c r="F70" s="9">
        <v>64</v>
      </c>
      <c r="G70" s="9">
        <v>65</v>
      </c>
      <c r="H70" s="9">
        <v>71</v>
      </c>
      <c r="I70" s="9">
        <v>72</v>
      </c>
      <c r="J70" s="9">
        <v>73</v>
      </c>
      <c r="K70" s="9">
        <v>74</v>
      </c>
      <c r="L70" s="9">
        <v>75</v>
      </c>
      <c r="M70" s="101"/>
    </row>
    <row r="71" spans="1:13">
      <c r="A71" s="99"/>
      <c r="B71" s="8">
        <v>1104</v>
      </c>
      <c r="C71" s="9">
        <v>66</v>
      </c>
      <c r="D71" s="9">
        <v>67</v>
      </c>
      <c r="E71" s="9">
        <v>68</v>
      </c>
      <c r="F71" s="9">
        <v>69</v>
      </c>
      <c r="G71" s="9">
        <v>70</v>
      </c>
      <c r="H71" s="95"/>
      <c r="I71" s="96"/>
      <c r="J71" s="96"/>
      <c r="K71" s="96"/>
      <c r="L71" s="97"/>
      <c r="M71" s="101"/>
    </row>
    <row r="72" spans="1:13">
      <c r="A72" s="98">
        <v>12</v>
      </c>
      <c r="B72" s="8">
        <v>1203</v>
      </c>
      <c r="C72" s="9">
        <v>76</v>
      </c>
      <c r="D72" s="9">
        <v>77</v>
      </c>
      <c r="E72" s="9">
        <v>78</v>
      </c>
      <c r="F72" s="9">
        <v>79</v>
      </c>
      <c r="G72" s="9">
        <v>80</v>
      </c>
      <c r="H72" s="31">
        <v>86</v>
      </c>
      <c r="I72" s="31">
        <v>87</v>
      </c>
      <c r="J72" s="31">
        <v>88</v>
      </c>
      <c r="K72" s="31">
        <v>89</v>
      </c>
      <c r="L72" s="31">
        <v>90</v>
      </c>
      <c r="M72" s="101"/>
    </row>
    <row r="73" spans="1:13">
      <c r="A73" s="99"/>
      <c r="B73" s="8">
        <v>1204</v>
      </c>
      <c r="C73" s="9">
        <v>81</v>
      </c>
      <c r="D73" s="9">
        <v>82</v>
      </c>
      <c r="E73" s="9">
        <v>83</v>
      </c>
      <c r="F73" s="9">
        <v>84</v>
      </c>
      <c r="G73" s="11">
        <v>85</v>
      </c>
      <c r="H73" s="95"/>
      <c r="I73" s="96"/>
      <c r="J73" s="96"/>
      <c r="K73" s="96"/>
      <c r="L73" s="97"/>
      <c r="M73" s="102"/>
    </row>
    <row r="74" spans="1:13">
      <c r="A74" s="98">
        <v>13</v>
      </c>
      <c r="B74" s="8">
        <v>1303</v>
      </c>
      <c r="C74" s="9">
        <v>1</v>
      </c>
      <c r="D74" s="9">
        <v>2</v>
      </c>
      <c r="E74" s="9">
        <v>3</v>
      </c>
      <c r="F74" s="9">
        <v>4</v>
      </c>
      <c r="G74" s="9">
        <v>5</v>
      </c>
      <c r="H74" s="9">
        <v>11</v>
      </c>
      <c r="I74" s="9">
        <v>12</v>
      </c>
      <c r="J74" s="9">
        <v>13</v>
      </c>
      <c r="K74" s="9">
        <v>14</v>
      </c>
      <c r="L74" s="9">
        <v>15</v>
      </c>
      <c r="M74" s="100" t="s">
        <v>21</v>
      </c>
    </row>
    <row r="75" spans="1:13">
      <c r="A75" s="99"/>
      <c r="B75" s="8">
        <v>1304</v>
      </c>
      <c r="C75" s="9">
        <v>6</v>
      </c>
      <c r="D75" s="9">
        <v>7</v>
      </c>
      <c r="E75" s="9">
        <v>8</v>
      </c>
      <c r="F75" s="9">
        <v>9</v>
      </c>
      <c r="G75" s="9">
        <v>10</v>
      </c>
      <c r="H75" s="95"/>
      <c r="I75" s="96"/>
      <c r="J75" s="96"/>
      <c r="K75" s="96"/>
      <c r="L75" s="97"/>
      <c r="M75" s="101"/>
    </row>
    <row r="76" spans="1:13">
      <c r="A76" s="98">
        <v>14</v>
      </c>
      <c r="B76" s="8">
        <v>1403</v>
      </c>
      <c r="C76" s="9">
        <v>16</v>
      </c>
      <c r="D76" s="9">
        <v>17</v>
      </c>
      <c r="E76" s="9">
        <v>18</v>
      </c>
      <c r="F76" s="9">
        <v>19</v>
      </c>
      <c r="G76" s="9">
        <v>20</v>
      </c>
      <c r="H76" s="31">
        <v>26</v>
      </c>
      <c r="I76" s="31">
        <v>27</v>
      </c>
      <c r="J76" s="31">
        <v>28</v>
      </c>
      <c r="K76" s="31">
        <v>29</v>
      </c>
      <c r="L76" s="31">
        <v>30</v>
      </c>
      <c r="M76" s="101"/>
    </row>
    <row r="77" spans="1:13">
      <c r="A77" s="99"/>
      <c r="B77" s="8">
        <v>1404</v>
      </c>
      <c r="C77" s="9">
        <v>21</v>
      </c>
      <c r="D77" s="9">
        <v>22</v>
      </c>
      <c r="E77" s="9">
        <v>23</v>
      </c>
      <c r="F77" s="9">
        <v>24</v>
      </c>
      <c r="G77" s="9">
        <v>25</v>
      </c>
      <c r="H77" s="95"/>
      <c r="I77" s="96"/>
      <c r="J77" s="96"/>
      <c r="K77" s="96"/>
      <c r="L77" s="97"/>
      <c r="M77" s="101"/>
    </row>
    <row r="78" spans="1:13">
      <c r="A78" s="98">
        <v>15</v>
      </c>
      <c r="B78" s="8">
        <v>1503</v>
      </c>
      <c r="C78" s="9">
        <v>31</v>
      </c>
      <c r="D78" s="9">
        <v>32</v>
      </c>
      <c r="E78" s="10">
        <v>33</v>
      </c>
      <c r="F78" s="10">
        <v>34</v>
      </c>
      <c r="G78" s="10">
        <v>35</v>
      </c>
      <c r="H78" s="9">
        <v>41</v>
      </c>
      <c r="I78" s="9">
        <v>42</v>
      </c>
      <c r="J78" s="9">
        <v>43</v>
      </c>
      <c r="K78" s="9">
        <v>44</v>
      </c>
      <c r="L78" s="9">
        <v>45</v>
      </c>
      <c r="M78" s="101"/>
    </row>
    <row r="79" spans="1:13">
      <c r="A79" s="99"/>
      <c r="B79" s="8">
        <v>1504</v>
      </c>
      <c r="C79" s="10">
        <v>36</v>
      </c>
      <c r="D79" s="11">
        <v>37</v>
      </c>
      <c r="E79" s="9">
        <v>38</v>
      </c>
      <c r="F79" s="9">
        <v>39</v>
      </c>
      <c r="G79" s="11">
        <v>40</v>
      </c>
      <c r="H79" s="95"/>
      <c r="I79" s="96"/>
      <c r="J79" s="96"/>
      <c r="K79" s="96"/>
      <c r="L79" s="97"/>
      <c r="M79" s="101"/>
    </row>
    <row r="80" spans="1:13">
      <c r="A80" s="98">
        <v>16</v>
      </c>
      <c r="B80" s="8">
        <v>1603</v>
      </c>
      <c r="C80" s="9">
        <v>46</v>
      </c>
      <c r="D80" s="9">
        <v>47</v>
      </c>
      <c r="E80" s="9">
        <v>48</v>
      </c>
      <c r="F80" s="9">
        <v>49</v>
      </c>
      <c r="G80" s="9">
        <v>50</v>
      </c>
      <c r="H80" s="31">
        <v>56</v>
      </c>
      <c r="I80" s="31">
        <v>57</v>
      </c>
      <c r="J80" s="31">
        <v>58</v>
      </c>
      <c r="K80" s="31">
        <v>59</v>
      </c>
      <c r="L80" s="31">
        <v>60</v>
      </c>
      <c r="M80" s="101"/>
    </row>
    <row r="81" spans="1:13">
      <c r="A81" s="99"/>
      <c r="B81" s="8">
        <v>1604</v>
      </c>
      <c r="C81" s="9">
        <v>51</v>
      </c>
      <c r="D81" s="9">
        <v>52</v>
      </c>
      <c r="E81" s="9">
        <v>53</v>
      </c>
      <c r="F81" s="9">
        <v>54</v>
      </c>
      <c r="G81" s="9">
        <v>55</v>
      </c>
      <c r="H81" s="95"/>
      <c r="I81" s="96"/>
      <c r="J81" s="96"/>
      <c r="K81" s="96"/>
      <c r="L81" s="97"/>
      <c r="M81" s="101"/>
    </row>
    <row r="82" spans="1:13">
      <c r="A82" s="98">
        <v>17</v>
      </c>
      <c r="B82" s="8">
        <v>1703</v>
      </c>
      <c r="C82" s="9">
        <v>61</v>
      </c>
      <c r="D82" s="9">
        <v>62</v>
      </c>
      <c r="E82" s="9">
        <v>63</v>
      </c>
      <c r="F82" s="9">
        <v>64</v>
      </c>
      <c r="G82" s="9">
        <v>65</v>
      </c>
      <c r="H82" s="9">
        <v>71</v>
      </c>
      <c r="I82" s="9">
        <v>72</v>
      </c>
      <c r="J82" s="9">
        <v>73</v>
      </c>
      <c r="K82" s="9">
        <v>74</v>
      </c>
      <c r="L82" s="9">
        <v>75</v>
      </c>
      <c r="M82" s="101"/>
    </row>
    <row r="83" spans="1:13">
      <c r="A83" s="99"/>
      <c r="B83" s="8">
        <v>1704</v>
      </c>
      <c r="C83" s="9">
        <v>66</v>
      </c>
      <c r="D83" s="9">
        <v>67</v>
      </c>
      <c r="E83" s="9">
        <v>68</v>
      </c>
      <c r="F83" s="11">
        <v>69</v>
      </c>
      <c r="G83" s="9">
        <v>70</v>
      </c>
      <c r="H83" s="95"/>
      <c r="I83" s="96"/>
      <c r="J83" s="96"/>
      <c r="K83" s="96"/>
      <c r="L83" s="97"/>
      <c r="M83" s="101"/>
    </row>
    <row r="84" spans="1:13">
      <c r="A84" s="98">
        <v>18</v>
      </c>
      <c r="B84" s="8">
        <v>1803</v>
      </c>
      <c r="C84" s="9">
        <v>76</v>
      </c>
      <c r="D84" s="9">
        <v>77</v>
      </c>
      <c r="E84" s="9">
        <v>78</v>
      </c>
      <c r="F84" s="9">
        <v>79</v>
      </c>
      <c r="G84" s="9">
        <v>80</v>
      </c>
      <c r="H84" s="31">
        <v>86</v>
      </c>
      <c r="I84" s="31">
        <v>87</v>
      </c>
      <c r="J84" s="31">
        <v>88</v>
      </c>
      <c r="K84" s="31">
        <v>89</v>
      </c>
      <c r="L84" s="31">
        <v>90</v>
      </c>
      <c r="M84" s="101"/>
    </row>
    <row r="85" spans="1:13">
      <c r="A85" s="99"/>
      <c r="B85" s="8">
        <v>1804</v>
      </c>
      <c r="C85" s="9">
        <v>81</v>
      </c>
      <c r="D85" s="9">
        <v>82</v>
      </c>
      <c r="E85" s="9">
        <v>83</v>
      </c>
      <c r="F85" s="9">
        <v>84</v>
      </c>
      <c r="G85" s="11">
        <v>85</v>
      </c>
      <c r="H85" s="95"/>
      <c r="I85" s="96"/>
      <c r="J85" s="96"/>
      <c r="K85" s="96"/>
      <c r="L85" s="97"/>
      <c r="M85" s="102"/>
    </row>
    <row r="86" spans="1:13">
      <c r="A86" s="98">
        <v>19</v>
      </c>
      <c r="B86" s="8">
        <v>1903</v>
      </c>
      <c r="C86" s="9">
        <v>1</v>
      </c>
      <c r="D86" s="9">
        <v>2</v>
      </c>
      <c r="E86" s="9">
        <v>3</v>
      </c>
      <c r="F86" s="9">
        <v>4</v>
      </c>
      <c r="G86" s="9">
        <v>5</v>
      </c>
      <c r="H86" s="9">
        <v>11</v>
      </c>
      <c r="I86" s="9">
        <v>12</v>
      </c>
      <c r="J86" s="9">
        <v>13</v>
      </c>
      <c r="K86" s="9">
        <v>14</v>
      </c>
      <c r="L86" s="9">
        <v>15</v>
      </c>
      <c r="M86" s="91" t="s">
        <v>22</v>
      </c>
    </row>
    <row r="87" spans="1:13">
      <c r="A87" s="99"/>
      <c r="B87" s="8">
        <v>1904</v>
      </c>
      <c r="C87" s="9">
        <v>6</v>
      </c>
      <c r="D87" s="9">
        <v>7</v>
      </c>
      <c r="E87" s="9">
        <v>8</v>
      </c>
      <c r="F87" s="9">
        <v>9</v>
      </c>
      <c r="G87" s="9">
        <v>10</v>
      </c>
      <c r="H87" s="95"/>
      <c r="I87" s="96"/>
      <c r="J87" s="96"/>
      <c r="K87" s="96"/>
      <c r="L87" s="97"/>
      <c r="M87" s="91"/>
    </row>
    <row r="88" spans="1:13">
      <c r="A88" s="98">
        <v>20</v>
      </c>
      <c r="B88" s="8">
        <v>2003</v>
      </c>
      <c r="C88" s="11">
        <v>16</v>
      </c>
      <c r="D88" s="9">
        <v>17</v>
      </c>
      <c r="E88" s="9">
        <v>18</v>
      </c>
      <c r="F88" s="9">
        <v>19</v>
      </c>
      <c r="G88" s="9">
        <v>20</v>
      </c>
      <c r="H88" s="31">
        <v>26</v>
      </c>
      <c r="I88" s="31">
        <v>27</v>
      </c>
      <c r="J88" s="31">
        <v>28</v>
      </c>
      <c r="K88" s="31">
        <v>29</v>
      </c>
      <c r="L88" s="31">
        <v>30</v>
      </c>
      <c r="M88" s="91"/>
    </row>
    <row r="89" spans="1:13">
      <c r="A89" s="99"/>
      <c r="B89" s="8">
        <v>2004</v>
      </c>
      <c r="C89" s="9">
        <v>21</v>
      </c>
      <c r="D89" s="9">
        <v>22</v>
      </c>
      <c r="E89" s="9">
        <v>23</v>
      </c>
      <c r="F89" s="9">
        <v>24</v>
      </c>
      <c r="G89" s="10">
        <v>25</v>
      </c>
      <c r="H89" s="95"/>
      <c r="I89" s="96"/>
      <c r="J89" s="96"/>
      <c r="K89" s="96"/>
      <c r="L89" s="97"/>
      <c r="M89" s="91"/>
    </row>
    <row r="90" spans="1:13">
      <c r="A90" s="98">
        <v>21</v>
      </c>
      <c r="B90" s="8">
        <v>2103</v>
      </c>
      <c r="C90" s="9">
        <v>31</v>
      </c>
      <c r="D90" s="9">
        <v>32</v>
      </c>
      <c r="E90" s="9">
        <v>33</v>
      </c>
      <c r="F90" s="9">
        <v>34</v>
      </c>
      <c r="G90" s="9">
        <v>35</v>
      </c>
      <c r="H90" s="9">
        <v>41</v>
      </c>
      <c r="I90" s="9">
        <v>42</v>
      </c>
      <c r="J90" s="9">
        <v>43</v>
      </c>
      <c r="K90" s="9">
        <v>44</v>
      </c>
      <c r="L90" s="9">
        <v>45</v>
      </c>
      <c r="M90" s="91"/>
    </row>
    <row r="91" spans="1:13">
      <c r="A91" s="99"/>
      <c r="B91" s="8">
        <v>2104</v>
      </c>
      <c r="C91" s="9">
        <v>36</v>
      </c>
      <c r="D91" s="9">
        <v>37</v>
      </c>
      <c r="E91" s="9">
        <v>38</v>
      </c>
      <c r="F91" s="9">
        <v>39</v>
      </c>
      <c r="G91" s="9">
        <v>40</v>
      </c>
      <c r="H91" s="95"/>
      <c r="I91" s="96"/>
      <c r="J91" s="96"/>
      <c r="K91" s="96"/>
      <c r="L91" s="97"/>
      <c r="M91" s="91"/>
    </row>
    <row r="92" spans="1:13">
      <c r="A92" s="98">
        <v>22</v>
      </c>
      <c r="B92" s="8">
        <v>2203</v>
      </c>
      <c r="C92" s="9">
        <v>46</v>
      </c>
      <c r="D92" s="11">
        <v>47</v>
      </c>
      <c r="E92" s="9">
        <v>48</v>
      </c>
      <c r="F92" s="11">
        <v>49</v>
      </c>
      <c r="G92" s="9">
        <v>50</v>
      </c>
      <c r="H92" s="31">
        <v>56</v>
      </c>
      <c r="I92" s="31">
        <v>57</v>
      </c>
      <c r="J92" s="31">
        <v>58</v>
      </c>
      <c r="K92" s="31">
        <v>59</v>
      </c>
      <c r="L92" s="31">
        <v>60</v>
      </c>
      <c r="M92" s="91"/>
    </row>
    <row r="93" spans="1:13">
      <c r="A93" s="99"/>
      <c r="B93" s="8">
        <v>2204</v>
      </c>
      <c r="C93" s="9">
        <v>51</v>
      </c>
      <c r="D93" s="9">
        <v>52</v>
      </c>
      <c r="E93" s="9">
        <v>53</v>
      </c>
      <c r="F93" s="9">
        <v>54</v>
      </c>
      <c r="G93" s="9">
        <v>55</v>
      </c>
      <c r="H93" s="95"/>
      <c r="I93" s="96"/>
      <c r="J93" s="96"/>
      <c r="K93" s="96"/>
      <c r="L93" s="97"/>
      <c r="M93" s="91"/>
    </row>
    <row r="94" spans="1:13">
      <c r="A94" s="98">
        <v>23</v>
      </c>
      <c r="B94" s="98" t="s">
        <v>25</v>
      </c>
      <c r="C94" s="9">
        <v>61</v>
      </c>
      <c r="D94" s="11">
        <v>62</v>
      </c>
      <c r="E94" s="9">
        <v>63</v>
      </c>
      <c r="F94" s="11">
        <v>64</v>
      </c>
      <c r="G94" s="131"/>
      <c r="H94" s="132"/>
      <c r="I94" s="133"/>
      <c r="J94" s="10">
        <v>65</v>
      </c>
      <c r="K94" s="10">
        <v>66</v>
      </c>
      <c r="L94" s="9">
        <v>67</v>
      </c>
      <c r="M94" s="91"/>
    </row>
    <row r="95" spans="1:13">
      <c r="A95" s="99"/>
      <c r="B95" s="99"/>
      <c r="C95" s="131"/>
      <c r="D95" s="132"/>
      <c r="E95" s="132"/>
      <c r="F95" s="132"/>
      <c r="G95" s="132"/>
      <c r="H95" s="132"/>
      <c r="I95" s="132"/>
      <c r="J95" s="132"/>
      <c r="K95" s="132"/>
      <c r="L95" s="133"/>
      <c r="M95" s="91"/>
    </row>
  </sheetData>
  <mergeCells count="124">
    <mergeCell ref="A1:M1"/>
    <mergeCell ref="A2:A3"/>
    <mergeCell ref="B2:B3"/>
    <mergeCell ref="C2:G3"/>
    <mergeCell ref="H2:H3"/>
    <mergeCell ref="I2:I3"/>
    <mergeCell ref="J2:J3"/>
    <mergeCell ref="K2:K3"/>
    <mergeCell ref="L2:L3"/>
    <mergeCell ref="M2:M3"/>
    <mergeCell ref="P3:Q3"/>
    <mergeCell ref="A4:A5"/>
    <mergeCell ref="M4:M15"/>
    <mergeCell ref="O4:O7"/>
    <mergeCell ref="T4:T7"/>
    <mergeCell ref="H5:L5"/>
    <mergeCell ref="A6:A7"/>
    <mergeCell ref="H7:L7"/>
    <mergeCell ref="A8:A9"/>
    <mergeCell ref="H9:L9"/>
    <mergeCell ref="H17:L17"/>
    <mergeCell ref="A18:A19"/>
    <mergeCell ref="H19:L19"/>
    <mergeCell ref="T19:T22"/>
    <mergeCell ref="A20:A21"/>
    <mergeCell ref="H21:L21"/>
    <mergeCell ref="A22:A23"/>
    <mergeCell ref="H23:L23"/>
    <mergeCell ref="T9:T12"/>
    <mergeCell ref="A10:A11"/>
    <mergeCell ref="H11:L11"/>
    <mergeCell ref="A12:A13"/>
    <mergeCell ref="H13:L13"/>
    <mergeCell ref="A14:A15"/>
    <mergeCell ref="T14:T17"/>
    <mergeCell ref="H15:L15"/>
    <mergeCell ref="A16:A17"/>
    <mergeCell ref="M16:M27"/>
    <mergeCell ref="H31:L31"/>
    <mergeCell ref="A32:A33"/>
    <mergeCell ref="H33:L33"/>
    <mergeCell ref="A34:A35"/>
    <mergeCell ref="T34:T37"/>
    <mergeCell ref="H35:L35"/>
    <mergeCell ref="A36:A37"/>
    <mergeCell ref="H37:L37"/>
    <mergeCell ref="A24:A25"/>
    <mergeCell ref="T24:T27"/>
    <mergeCell ref="H25:L25"/>
    <mergeCell ref="A26:A27"/>
    <mergeCell ref="H27:L27"/>
    <mergeCell ref="A28:A29"/>
    <mergeCell ref="M28:M39"/>
    <mergeCell ref="H29:L29"/>
    <mergeCell ref="T29:T32"/>
    <mergeCell ref="A30:A31"/>
    <mergeCell ref="A46:A47"/>
    <mergeCell ref="H47:L47"/>
    <mergeCell ref="A48:A49"/>
    <mergeCell ref="A38:A39"/>
    <mergeCell ref="H39:L39"/>
    <mergeCell ref="T39:T42"/>
    <mergeCell ref="A40:A41"/>
    <mergeCell ref="H41:L41"/>
    <mergeCell ref="A42:A43"/>
    <mergeCell ref="H43:L43"/>
    <mergeCell ref="A44:A45"/>
    <mergeCell ref="H45:L45"/>
    <mergeCell ref="A52:A53"/>
    <mergeCell ref="H53:L53"/>
    <mergeCell ref="A54:A55"/>
    <mergeCell ref="H55:L55"/>
    <mergeCell ref="A56:A57"/>
    <mergeCell ref="H57:L57"/>
    <mergeCell ref="A58:A59"/>
    <mergeCell ref="H59:L59"/>
    <mergeCell ref="A60:A61"/>
    <mergeCell ref="A68:A69"/>
    <mergeCell ref="H69:L69"/>
    <mergeCell ref="A70:A71"/>
    <mergeCell ref="H71:L71"/>
    <mergeCell ref="A72:A73"/>
    <mergeCell ref="H73:L73"/>
    <mergeCell ref="A74:A75"/>
    <mergeCell ref="H75:L75"/>
    <mergeCell ref="H61:L61"/>
    <mergeCell ref="A62:A63"/>
    <mergeCell ref="H63:L63"/>
    <mergeCell ref="A64:A65"/>
    <mergeCell ref="H65:L65"/>
    <mergeCell ref="A66:A67"/>
    <mergeCell ref="A50:A51"/>
    <mergeCell ref="M50:M61"/>
    <mergeCell ref="H51:L51"/>
    <mergeCell ref="G48:I48"/>
    <mergeCell ref="H91:L91"/>
    <mergeCell ref="A92:A93"/>
    <mergeCell ref="H93:L93"/>
    <mergeCell ref="A94:A95"/>
    <mergeCell ref="H85:L85"/>
    <mergeCell ref="A86:A87"/>
    <mergeCell ref="H87:L87"/>
    <mergeCell ref="A88:A89"/>
    <mergeCell ref="H89:L89"/>
    <mergeCell ref="A90:A91"/>
    <mergeCell ref="A76:A77"/>
    <mergeCell ref="H77:L77"/>
    <mergeCell ref="A78:A79"/>
    <mergeCell ref="H79:L79"/>
    <mergeCell ref="A80:A81"/>
    <mergeCell ref="H81:L81"/>
    <mergeCell ref="A82:A83"/>
    <mergeCell ref="H83:L83"/>
    <mergeCell ref="A84:A85"/>
    <mergeCell ref="H67:L67"/>
    <mergeCell ref="M62:M73"/>
    <mergeCell ref="M74:M85"/>
    <mergeCell ref="B48:B49"/>
    <mergeCell ref="B94:B95"/>
    <mergeCell ref="M86:M95"/>
    <mergeCell ref="M40:M49"/>
    <mergeCell ref="C49:L49"/>
    <mergeCell ref="C95:L95"/>
    <mergeCell ref="G94:I94"/>
  </mergeCells>
  <conditionalFormatting sqref="F10:G10">
    <cfRule type="cellIs" dxfId="249" priority="43" operator="equal">
      <formula>"Ногоон"</formula>
    </cfRule>
    <cfRule type="cellIs" dxfId="248" priority="44" operator="equal">
      <formula>"Улаан"</formula>
    </cfRule>
  </conditionalFormatting>
  <conditionalFormatting sqref="C4:L4 C5:H5 C6:G15 H8:L8 H9 H12:L12 H13 C16:L16 C17:H17 C18:G27 H20:L20 H21 H24:L24 H25 C28:L28 C29:H29 C30:G39 H32:L32 H33 H36:L36 H37 C40:L40 C41:H41 C42:G48 H44:L44 H45 J48:L48 C49">
    <cfRule type="cellIs" dxfId="247" priority="42" operator="equal">
      <formula>"Улаан"</formula>
    </cfRule>
  </conditionalFormatting>
  <conditionalFormatting sqref="F22:G22">
    <cfRule type="cellIs" dxfId="246" priority="40" operator="equal">
      <formula>"Ногоон"</formula>
    </cfRule>
    <cfRule type="cellIs" dxfId="245" priority="41" operator="equal">
      <formula>"Улаан"</formula>
    </cfRule>
  </conditionalFormatting>
  <conditionalFormatting sqref="F34:G34">
    <cfRule type="cellIs" dxfId="244" priority="38" operator="equal">
      <formula>"Ногоон"</formula>
    </cfRule>
    <cfRule type="cellIs" dxfId="243" priority="39" operator="equal">
      <formula>"Улаан"</formula>
    </cfRule>
  </conditionalFormatting>
  <conditionalFormatting sqref="F46:G46">
    <cfRule type="cellIs" dxfId="242" priority="36" operator="equal">
      <formula>"Ногоон"</formula>
    </cfRule>
    <cfRule type="cellIs" dxfId="241" priority="37" operator="equal">
      <formula>"Улаан"</formula>
    </cfRule>
  </conditionalFormatting>
  <conditionalFormatting sqref="C50:L50 C51:H51 C52:G61 H54:L54 H55 H58:L58 H59 C62:L62 C63:H63 C64:G73 H66:L66 H67 H70:L70 H71 C74:L74 C75:H75 C76:G85 H78:L78 H79 H82:L82 H83 C86:L86 C87:H87 C88:G94 H90:L90 H91 J94:L94 C95">
    <cfRule type="cellIs" dxfId="240" priority="9" operator="equal">
      <formula>"Улаан"</formula>
    </cfRule>
  </conditionalFormatting>
  <conditionalFormatting sqref="F56:G56">
    <cfRule type="cellIs" dxfId="239" priority="7" operator="equal">
      <formula>"Ногоон"</formula>
    </cfRule>
    <cfRule type="cellIs" dxfId="238" priority="8" operator="equal">
      <formula>"Улаан"</formula>
    </cfRule>
  </conditionalFormatting>
  <conditionalFormatting sqref="F68:G68">
    <cfRule type="cellIs" dxfId="237" priority="5" operator="equal">
      <formula>"Ногоон"</formula>
    </cfRule>
    <cfRule type="cellIs" dxfId="236" priority="6" operator="equal">
      <formula>"Улаан"</formula>
    </cfRule>
  </conditionalFormatting>
  <conditionalFormatting sqref="F80:G80">
    <cfRule type="cellIs" dxfId="235" priority="3" operator="equal">
      <formula>"Ногоон"</formula>
    </cfRule>
    <cfRule type="cellIs" dxfId="234" priority="4" operator="equal">
      <formula>"Улаан"</formula>
    </cfRule>
  </conditionalFormatting>
  <conditionalFormatting sqref="F92:G92">
    <cfRule type="cellIs" dxfId="233" priority="1" operator="equal">
      <formula>"Ногоон"</formula>
    </cfRule>
    <cfRule type="cellIs" dxfId="232" priority="2" operator="equal">
      <formula>"Улаан"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7358-003D-4AE8-8B9C-6CF35B833D9B}">
  <dimension ref="A1:Z69"/>
  <sheetViews>
    <sheetView topLeftCell="O1" workbookViewId="0">
      <selection activeCell="Z38" sqref="Z38"/>
    </sheetView>
  </sheetViews>
  <sheetFormatPr defaultRowHeight="15"/>
  <cols>
    <col min="18" max="18" width="9.7109375" bestFit="1" customWidth="1"/>
    <col min="19" max="19" width="14.5703125" bestFit="1" customWidth="1"/>
    <col min="24" max="24" width="14.5703125" bestFit="1" customWidth="1"/>
  </cols>
  <sheetData>
    <row r="1" spans="1:26">
      <c r="A1" s="77">
        <v>210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9"/>
    </row>
    <row r="2" spans="1:26">
      <c r="A2" s="80" t="s">
        <v>1</v>
      </c>
      <c r="B2" s="81" t="s">
        <v>2</v>
      </c>
      <c r="C2" s="82" t="s">
        <v>3</v>
      </c>
      <c r="D2" s="83"/>
      <c r="E2" s="83"/>
      <c r="F2" s="83"/>
      <c r="G2" s="83"/>
      <c r="H2" s="83"/>
      <c r="I2" s="83"/>
      <c r="J2" s="83"/>
      <c r="K2" s="88" t="s">
        <v>4</v>
      </c>
      <c r="L2" s="88" t="s">
        <v>4</v>
      </c>
      <c r="M2" s="81" t="s">
        <v>5</v>
      </c>
      <c r="N2" s="89" t="s">
        <v>6</v>
      </c>
      <c r="O2" s="81" t="s">
        <v>7</v>
      </c>
      <c r="P2" s="80" t="s">
        <v>8</v>
      </c>
    </row>
    <row r="3" spans="1:26">
      <c r="A3" s="80"/>
      <c r="B3" s="81"/>
      <c r="C3" s="85"/>
      <c r="D3" s="86"/>
      <c r="E3" s="86"/>
      <c r="F3" s="86"/>
      <c r="G3" s="86"/>
      <c r="H3" s="86"/>
      <c r="I3" s="86"/>
      <c r="J3" s="86"/>
      <c r="K3" s="88"/>
      <c r="L3" s="88"/>
      <c r="M3" s="81"/>
      <c r="N3" s="89"/>
      <c r="O3" s="81"/>
      <c r="P3" s="80"/>
    </row>
    <row r="4" spans="1:26">
      <c r="A4" s="80">
        <v>1</v>
      </c>
      <c r="B4" s="7">
        <f>(INT((ROW()-4)/3)+1)*100 + MOD(ROW()-4,3)+1</f>
        <v>101</v>
      </c>
      <c r="C4" s="50"/>
      <c r="D4" s="50"/>
      <c r="E4" s="50"/>
      <c r="F4" s="50"/>
      <c r="G4" s="50"/>
      <c r="H4" s="50"/>
      <c r="I4" s="50"/>
      <c r="J4" s="50"/>
      <c r="K4" s="50">
        <v>1</v>
      </c>
      <c r="L4" s="50">
        <v>16</v>
      </c>
      <c r="M4" s="67">
        <v>17</v>
      </c>
      <c r="N4" s="50">
        <v>18</v>
      </c>
      <c r="O4" s="50">
        <v>19</v>
      </c>
      <c r="P4" s="128" t="s">
        <v>9</v>
      </c>
      <c r="R4" s="92">
        <v>46000</v>
      </c>
      <c r="S4" s="12" t="s">
        <v>10</v>
      </c>
      <c r="T4" s="13">
        <f>SUM(T5:T7)</f>
        <v>638</v>
      </c>
      <c r="U4" s="73">
        <v>1</v>
      </c>
      <c r="W4" s="92" t="s">
        <v>9</v>
      </c>
      <c r="X4" s="12" t="s">
        <v>10</v>
      </c>
      <c r="Y4" s="13">
        <f>SUM(Y5:Y7)</f>
        <v>116</v>
      </c>
      <c r="Z4" s="73">
        <v>1</v>
      </c>
    </row>
    <row r="5" spans="1:26">
      <c r="A5" s="80"/>
      <c r="B5" s="7">
        <f t="shared" ref="B5:B68" si="0">(INT((ROW()-4)/3)+1)*100 + MOD(ROW()-4,3)+1</f>
        <v>102</v>
      </c>
      <c r="C5" s="66">
        <v>2</v>
      </c>
      <c r="D5" s="66">
        <v>3</v>
      </c>
      <c r="E5" s="66">
        <v>4</v>
      </c>
      <c r="F5" s="50">
        <v>5</v>
      </c>
      <c r="G5" s="50">
        <v>6</v>
      </c>
      <c r="H5" s="50">
        <v>7</v>
      </c>
      <c r="I5" s="50"/>
      <c r="J5" s="50"/>
      <c r="K5" s="110"/>
      <c r="L5" s="111"/>
      <c r="M5" s="111"/>
      <c r="N5" s="111"/>
      <c r="O5" s="112"/>
      <c r="P5" s="128"/>
      <c r="R5" s="93"/>
      <c r="S5" s="14" t="s">
        <v>11</v>
      </c>
      <c r="T5" s="13" cm="1">
        <f t="array" ref="T5">CountByColor(C4:O69, S5)</f>
        <v>46</v>
      </c>
      <c r="U5" s="74">
        <v>7.2099999999999997E-2</v>
      </c>
      <c r="W5" s="93"/>
      <c r="X5" s="14" t="s">
        <v>11</v>
      </c>
      <c r="Y5" s="13" cm="1">
        <f t="array" ref="Y5">CountByColor(C4:O15, X5)</f>
        <v>10</v>
      </c>
      <c r="Z5" s="74">
        <v>8.6199999999999999E-2</v>
      </c>
    </row>
    <row r="6" spans="1:26">
      <c r="A6" s="80"/>
      <c r="B6" s="7">
        <f t="shared" si="0"/>
        <v>103</v>
      </c>
      <c r="C6" s="50">
        <v>8</v>
      </c>
      <c r="D6" s="50">
        <v>9</v>
      </c>
      <c r="E6" s="50">
        <v>10</v>
      </c>
      <c r="F6" s="50">
        <v>11</v>
      </c>
      <c r="G6" s="50">
        <v>12</v>
      </c>
      <c r="H6" s="50">
        <v>13</v>
      </c>
      <c r="I6" s="50">
        <v>14</v>
      </c>
      <c r="J6" s="50">
        <v>15</v>
      </c>
      <c r="K6" s="113"/>
      <c r="L6" s="114"/>
      <c r="M6" s="114"/>
      <c r="N6" s="114"/>
      <c r="O6" s="115"/>
      <c r="P6" s="128"/>
      <c r="R6" s="93"/>
      <c r="S6" s="15" t="s">
        <v>12</v>
      </c>
      <c r="T6" s="13" cm="1">
        <f t="array" ref="T6">CountByColor(C4:O69, S6)</f>
        <v>21</v>
      </c>
      <c r="U6" s="74">
        <v>3.2899999999999999E-2</v>
      </c>
      <c r="W6" s="93"/>
      <c r="X6" s="15" t="s">
        <v>12</v>
      </c>
      <c r="Y6" s="13" cm="1">
        <f t="array" ref="Y6">CountByColor(C4:O15, X6)</f>
        <v>4</v>
      </c>
      <c r="Z6" s="74">
        <v>3.4500000000000003E-2</v>
      </c>
    </row>
    <row r="7" spans="1:26">
      <c r="A7" s="80">
        <v>2</v>
      </c>
      <c r="B7" s="7">
        <f t="shared" si="0"/>
        <v>201</v>
      </c>
      <c r="C7" s="50">
        <v>21</v>
      </c>
      <c r="D7" s="50">
        <v>22</v>
      </c>
      <c r="E7" s="50">
        <v>23</v>
      </c>
      <c r="F7" s="50">
        <v>24</v>
      </c>
      <c r="G7" s="50">
        <v>25</v>
      </c>
      <c r="H7" s="50">
        <v>26</v>
      </c>
      <c r="I7" s="50">
        <v>27</v>
      </c>
      <c r="J7" s="50">
        <v>28</v>
      </c>
      <c r="K7" s="50">
        <v>20</v>
      </c>
      <c r="L7" s="66">
        <v>45</v>
      </c>
      <c r="M7" s="67">
        <v>46</v>
      </c>
      <c r="N7" s="50">
        <v>47</v>
      </c>
      <c r="O7" s="50">
        <v>48</v>
      </c>
      <c r="P7" s="128"/>
      <c r="R7" s="94"/>
      <c r="S7" s="16" t="s">
        <v>13</v>
      </c>
      <c r="T7" s="13" cm="1">
        <f t="array" ref="T7">CountByColor(C4:O69, S7)</f>
        <v>571</v>
      </c>
      <c r="U7" s="74">
        <v>0.89500000000000002</v>
      </c>
      <c r="W7" s="94"/>
      <c r="X7" s="16" t="s">
        <v>13</v>
      </c>
      <c r="Y7" s="13" cm="1">
        <f t="array" ref="Y7">CountByColor(C4:O15, X7)</f>
        <v>102</v>
      </c>
      <c r="Z7" s="74">
        <v>0.87929999999999997</v>
      </c>
    </row>
    <row r="8" spans="1:26">
      <c r="A8" s="80"/>
      <c r="B8" s="7">
        <f t="shared" si="0"/>
        <v>202</v>
      </c>
      <c r="C8" s="50">
        <v>29</v>
      </c>
      <c r="D8" s="50">
        <v>30</v>
      </c>
      <c r="E8" s="50">
        <v>31</v>
      </c>
      <c r="F8" s="66">
        <v>32</v>
      </c>
      <c r="G8" s="50">
        <v>33</v>
      </c>
      <c r="H8" s="50">
        <v>34</v>
      </c>
      <c r="I8" s="50">
        <v>35</v>
      </c>
      <c r="J8" s="50">
        <v>36</v>
      </c>
      <c r="K8" s="110"/>
      <c r="L8" s="111"/>
      <c r="M8" s="111"/>
      <c r="N8" s="111"/>
      <c r="O8" s="112"/>
      <c r="P8" s="128"/>
    </row>
    <row r="9" spans="1:26">
      <c r="A9" s="80"/>
      <c r="B9" s="7">
        <f t="shared" si="0"/>
        <v>203</v>
      </c>
      <c r="C9" s="50">
        <v>37</v>
      </c>
      <c r="D9" s="50">
        <v>38</v>
      </c>
      <c r="E9" s="50">
        <v>39</v>
      </c>
      <c r="F9" s="50">
        <v>40</v>
      </c>
      <c r="G9" s="50">
        <v>41</v>
      </c>
      <c r="H9" s="50">
        <v>42</v>
      </c>
      <c r="I9" s="50">
        <v>43</v>
      </c>
      <c r="J9" s="50">
        <v>44</v>
      </c>
      <c r="K9" s="113"/>
      <c r="L9" s="114"/>
      <c r="M9" s="114"/>
      <c r="N9" s="114"/>
      <c r="O9" s="115"/>
      <c r="P9" s="128"/>
      <c r="W9" s="92" t="s">
        <v>14</v>
      </c>
      <c r="X9" s="12" t="s">
        <v>10</v>
      </c>
      <c r="Y9" s="13">
        <f>SUM(Y10:Y12)</f>
        <v>87</v>
      </c>
      <c r="Z9" s="73">
        <v>1</v>
      </c>
    </row>
    <row r="10" spans="1:26">
      <c r="A10" s="80">
        <v>3</v>
      </c>
      <c r="B10" s="7">
        <f t="shared" si="0"/>
        <v>301</v>
      </c>
      <c r="C10" s="50">
        <v>50</v>
      </c>
      <c r="D10" s="67">
        <v>51</v>
      </c>
      <c r="E10" s="50">
        <v>52</v>
      </c>
      <c r="F10" s="50">
        <v>53</v>
      </c>
      <c r="G10" s="50">
        <v>54</v>
      </c>
      <c r="H10" s="50">
        <v>55</v>
      </c>
      <c r="I10" s="66">
        <v>56</v>
      </c>
      <c r="J10" s="50">
        <v>57</v>
      </c>
      <c r="K10" s="66">
        <v>49</v>
      </c>
      <c r="L10" s="50">
        <v>74</v>
      </c>
      <c r="M10" s="50">
        <v>75</v>
      </c>
      <c r="N10" s="50">
        <v>76</v>
      </c>
      <c r="O10" s="50">
        <v>77</v>
      </c>
      <c r="P10" s="128"/>
      <c r="W10" s="93"/>
      <c r="X10" s="14" t="s">
        <v>11</v>
      </c>
      <c r="Y10" s="13" cm="1">
        <f t="array" ref="Y10">CountByColor(C16:O24, X10)</f>
        <v>5</v>
      </c>
      <c r="Z10" s="74">
        <v>5.7500000000000002E-2</v>
      </c>
    </row>
    <row r="11" spans="1:26">
      <c r="A11" s="80"/>
      <c r="B11" s="7">
        <f t="shared" si="0"/>
        <v>302</v>
      </c>
      <c r="C11" s="50">
        <v>58</v>
      </c>
      <c r="D11" s="50">
        <v>59</v>
      </c>
      <c r="E11" s="50">
        <v>60</v>
      </c>
      <c r="F11" s="66">
        <v>61</v>
      </c>
      <c r="G11" s="50">
        <v>62</v>
      </c>
      <c r="H11" s="50">
        <v>63</v>
      </c>
      <c r="I11" s="50">
        <v>64</v>
      </c>
      <c r="J11" s="50">
        <v>65</v>
      </c>
      <c r="K11" s="110"/>
      <c r="L11" s="111"/>
      <c r="M11" s="111"/>
      <c r="N11" s="111"/>
      <c r="O11" s="112"/>
      <c r="P11" s="128"/>
      <c r="W11" s="93"/>
      <c r="X11" s="15" t="s">
        <v>12</v>
      </c>
      <c r="Y11" s="13" cm="1">
        <f t="array" ref="Y11">CountByColor(C16:O24, X11)</f>
        <v>1</v>
      </c>
      <c r="Z11" s="74">
        <v>1.15E-2</v>
      </c>
    </row>
    <row r="12" spans="1:26">
      <c r="A12" s="80"/>
      <c r="B12" s="7">
        <f t="shared" si="0"/>
        <v>303</v>
      </c>
      <c r="C12" s="50">
        <v>66</v>
      </c>
      <c r="D12" s="50">
        <v>67</v>
      </c>
      <c r="E12" s="50">
        <v>68</v>
      </c>
      <c r="F12" s="50">
        <v>69</v>
      </c>
      <c r="G12" s="50">
        <v>70</v>
      </c>
      <c r="H12" s="50">
        <v>71</v>
      </c>
      <c r="I12" s="50">
        <v>72</v>
      </c>
      <c r="J12" s="50">
        <v>73</v>
      </c>
      <c r="K12" s="113"/>
      <c r="L12" s="114"/>
      <c r="M12" s="114"/>
      <c r="N12" s="114"/>
      <c r="O12" s="115"/>
      <c r="P12" s="128"/>
      <c r="W12" s="94"/>
      <c r="X12" s="16" t="s">
        <v>13</v>
      </c>
      <c r="Y12" s="13" cm="1">
        <f t="array" ref="Y12">CountByColor(C16:O24, X12)</f>
        <v>81</v>
      </c>
      <c r="Z12" s="74">
        <v>0.93100000000000005</v>
      </c>
    </row>
    <row r="13" spans="1:26">
      <c r="A13" s="80">
        <v>4</v>
      </c>
      <c r="B13" s="7">
        <f t="shared" si="0"/>
        <v>401</v>
      </c>
      <c r="C13" s="50">
        <v>79</v>
      </c>
      <c r="D13" s="66">
        <v>80</v>
      </c>
      <c r="E13" s="50">
        <v>81</v>
      </c>
      <c r="F13" s="50">
        <v>82</v>
      </c>
      <c r="G13" s="50">
        <v>83</v>
      </c>
      <c r="H13" s="50">
        <v>84</v>
      </c>
      <c r="I13" s="50">
        <v>85</v>
      </c>
      <c r="J13" s="66">
        <v>86</v>
      </c>
      <c r="K13" s="50">
        <v>78</v>
      </c>
      <c r="L13" s="50">
        <v>103</v>
      </c>
      <c r="M13" s="67">
        <v>104</v>
      </c>
      <c r="N13" s="50">
        <v>105</v>
      </c>
      <c r="O13" s="50">
        <v>106</v>
      </c>
      <c r="P13" s="128"/>
    </row>
    <row r="14" spans="1:26">
      <c r="A14" s="80"/>
      <c r="B14" s="7">
        <f t="shared" si="0"/>
        <v>402</v>
      </c>
      <c r="C14" s="50">
        <v>87</v>
      </c>
      <c r="D14" s="50">
        <v>88</v>
      </c>
      <c r="E14" s="50">
        <v>89</v>
      </c>
      <c r="F14" s="50">
        <v>90</v>
      </c>
      <c r="G14" s="50">
        <v>91</v>
      </c>
      <c r="H14" s="50">
        <v>92</v>
      </c>
      <c r="I14" s="50">
        <v>93</v>
      </c>
      <c r="J14" s="50">
        <v>94</v>
      </c>
      <c r="K14" s="110"/>
      <c r="L14" s="111"/>
      <c r="M14" s="111"/>
      <c r="N14" s="111"/>
      <c r="O14" s="112"/>
      <c r="P14" s="128"/>
      <c r="W14" s="92" t="s">
        <v>15</v>
      </c>
      <c r="X14" s="12" t="s">
        <v>10</v>
      </c>
      <c r="Y14" s="13">
        <f>SUM(Y15:Y17)</f>
        <v>87</v>
      </c>
      <c r="Z14" s="73">
        <v>1</v>
      </c>
    </row>
    <row r="15" spans="1:26">
      <c r="A15" s="80"/>
      <c r="B15" s="7">
        <f t="shared" si="0"/>
        <v>403</v>
      </c>
      <c r="C15" s="50">
        <v>95</v>
      </c>
      <c r="D15" s="50">
        <v>96</v>
      </c>
      <c r="E15" s="50">
        <v>97</v>
      </c>
      <c r="F15" s="50">
        <v>98</v>
      </c>
      <c r="G15" s="50">
        <v>99</v>
      </c>
      <c r="H15" s="50">
        <v>100</v>
      </c>
      <c r="I15" s="50">
        <v>101</v>
      </c>
      <c r="J15" s="50">
        <v>102</v>
      </c>
      <c r="K15" s="113"/>
      <c r="L15" s="114"/>
      <c r="M15" s="114"/>
      <c r="N15" s="114"/>
      <c r="O15" s="115"/>
      <c r="P15" s="128"/>
      <c r="W15" s="93"/>
      <c r="X15" s="14" t="s">
        <v>11</v>
      </c>
      <c r="Y15" s="13" cm="1">
        <f t="array" ref="Y15">CountByColor(C25:O33, X15)</f>
        <v>3</v>
      </c>
      <c r="Z15" s="74">
        <v>3.4500000000000003E-2</v>
      </c>
    </row>
    <row r="16" spans="1:26">
      <c r="A16" s="80">
        <v>5</v>
      </c>
      <c r="B16" s="7">
        <f t="shared" si="0"/>
        <v>501</v>
      </c>
      <c r="C16" s="66">
        <v>2</v>
      </c>
      <c r="D16" s="50">
        <v>3</v>
      </c>
      <c r="E16" s="50">
        <v>4</v>
      </c>
      <c r="F16" s="50">
        <v>5</v>
      </c>
      <c r="G16" s="50">
        <v>6</v>
      </c>
      <c r="H16" s="50">
        <v>7</v>
      </c>
      <c r="I16" s="50">
        <v>8</v>
      </c>
      <c r="J16" s="67">
        <v>9</v>
      </c>
      <c r="K16" s="66">
        <v>1</v>
      </c>
      <c r="L16" s="50">
        <v>26</v>
      </c>
      <c r="M16" s="50">
        <v>27</v>
      </c>
      <c r="N16" s="50">
        <v>28</v>
      </c>
      <c r="O16" s="50">
        <v>29</v>
      </c>
      <c r="P16" s="128" t="s">
        <v>14</v>
      </c>
      <c r="W16" s="93"/>
      <c r="X16" s="15" t="s">
        <v>12</v>
      </c>
      <c r="Y16" s="13" cm="1">
        <f t="array" ref="Y16">CountByColor(C25:O33, X16)</f>
        <v>3</v>
      </c>
      <c r="Z16" s="74">
        <v>3.4500000000000003E-2</v>
      </c>
    </row>
    <row r="17" spans="1:26">
      <c r="A17" s="80"/>
      <c r="B17" s="7">
        <f t="shared" si="0"/>
        <v>502</v>
      </c>
      <c r="C17" s="50">
        <v>10</v>
      </c>
      <c r="D17" s="50">
        <v>11</v>
      </c>
      <c r="E17" s="50">
        <v>12</v>
      </c>
      <c r="F17" s="50">
        <v>13</v>
      </c>
      <c r="G17" s="50">
        <v>14</v>
      </c>
      <c r="H17" s="50">
        <v>15</v>
      </c>
      <c r="I17" s="50">
        <v>16</v>
      </c>
      <c r="J17" s="50">
        <v>17</v>
      </c>
      <c r="K17" s="129"/>
      <c r="L17" s="129"/>
      <c r="M17" s="129"/>
      <c r="N17" s="129"/>
      <c r="O17" s="129"/>
      <c r="P17" s="128"/>
      <c r="W17" s="94"/>
      <c r="X17" s="16" t="s">
        <v>13</v>
      </c>
      <c r="Y17" s="13" cm="1">
        <f t="array" ref="Y17">CountByColor(C25:O33, X17)</f>
        <v>81</v>
      </c>
      <c r="Z17" s="74">
        <v>0.93100000000000005</v>
      </c>
    </row>
    <row r="18" spans="1:26">
      <c r="A18" s="80"/>
      <c r="B18" s="7">
        <f t="shared" si="0"/>
        <v>503</v>
      </c>
      <c r="C18" s="50">
        <v>18</v>
      </c>
      <c r="D18" s="50">
        <v>19</v>
      </c>
      <c r="E18" s="50">
        <v>20</v>
      </c>
      <c r="F18" s="50">
        <v>21</v>
      </c>
      <c r="G18" s="50">
        <v>22</v>
      </c>
      <c r="H18" s="50">
        <v>23</v>
      </c>
      <c r="I18" s="50">
        <v>24</v>
      </c>
      <c r="J18" s="50">
        <v>25</v>
      </c>
      <c r="K18" s="129"/>
      <c r="L18" s="129"/>
      <c r="M18" s="129"/>
      <c r="N18" s="129"/>
      <c r="O18" s="129"/>
      <c r="P18" s="128"/>
    </row>
    <row r="19" spans="1:26">
      <c r="A19" s="80">
        <v>6</v>
      </c>
      <c r="B19" s="7">
        <f t="shared" si="0"/>
        <v>601</v>
      </c>
      <c r="C19" s="50">
        <v>31</v>
      </c>
      <c r="D19" s="50">
        <v>32</v>
      </c>
      <c r="E19" s="50">
        <v>33</v>
      </c>
      <c r="F19" s="50">
        <v>34</v>
      </c>
      <c r="G19" s="50">
        <v>35</v>
      </c>
      <c r="H19" s="50">
        <v>36</v>
      </c>
      <c r="I19" s="50">
        <v>37</v>
      </c>
      <c r="J19" s="66">
        <v>38</v>
      </c>
      <c r="K19" s="50">
        <v>30</v>
      </c>
      <c r="L19" s="50">
        <v>55</v>
      </c>
      <c r="M19" s="50">
        <v>56</v>
      </c>
      <c r="N19" s="50">
        <v>57</v>
      </c>
      <c r="O19" s="50">
        <v>58</v>
      </c>
      <c r="P19" s="128"/>
      <c r="W19" s="92" t="s">
        <v>16</v>
      </c>
      <c r="X19" s="12" t="s">
        <v>10</v>
      </c>
      <c r="Y19" s="13">
        <f>SUM(Y20:Y22)</f>
        <v>87</v>
      </c>
      <c r="Z19" s="73">
        <v>1</v>
      </c>
    </row>
    <row r="20" spans="1:26">
      <c r="A20" s="80"/>
      <c r="B20" s="7">
        <f t="shared" si="0"/>
        <v>602</v>
      </c>
      <c r="C20" s="50">
        <v>39</v>
      </c>
      <c r="D20" s="50">
        <v>40</v>
      </c>
      <c r="E20" s="50">
        <v>41</v>
      </c>
      <c r="F20" s="50">
        <v>42</v>
      </c>
      <c r="G20" s="50">
        <v>43</v>
      </c>
      <c r="H20" s="50">
        <v>44</v>
      </c>
      <c r="I20" s="50">
        <v>45</v>
      </c>
      <c r="J20" s="50">
        <v>46</v>
      </c>
      <c r="K20" s="129"/>
      <c r="L20" s="129"/>
      <c r="M20" s="129"/>
      <c r="N20" s="129"/>
      <c r="O20" s="129"/>
      <c r="P20" s="128"/>
      <c r="W20" s="93"/>
      <c r="X20" s="14" t="s">
        <v>11</v>
      </c>
      <c r="Y20" s="13" cm="1">
        <f t="array" ref="Y20">CountByColor(C34:O42, X20)</f>
        <v>10</v>
      </c>
      <c r="Z20" s="74">
        <v>0.1149</v>
      </c>
    </row>
    <row r="21" spans="1:26">
      <c r="A21" s="80"/>
      <c r="B21" s="7">
        <f t="shared" si="0"/>
        <v>603</v>
      </c>
      <c r="C21" s="66">
        <v>47</v>
      </c>
      <c r="D21" s="50">
        <v>48</v>
      </c>
      <c r="E21" s="50">
        <v>49</v>
      </c>
      <c r="F21" s="50">
        <v>50</v>
      </c>
      <c r="G21" s="50">
        <v>51</v>
      </c>
      <c r="H21" s="50">
        <v>52</v>
      </c>
      <c r="I21" s="50">
        <v>53</v>
      </c>
      <c r="J21" s="50">
        <v>54</v>
      </c>
      <c r="K21" s="129"/>
      <c r="L21" s="129"/>
      <c r="M21" s="129"/>
      <c r="N21" s="129"/>
      <c r="O21" s="129"/>
      <c r="P21" s="128"/>
      <c r="W21" s="93"/>
      <c r="X21" s="15" t="s">
        <v>12</v>
      </c>
      <c r="Y21" s="13" cm="1">
        <f t="array" ref="Y21">CountByColor(C34:O42, X21)</f>
        <v>10</v>
      </c>
      <c r="Z21" s="74">
        <v>0.1149</v>
      </c>
    </row>
    <row r="22" spans="1:26">
      <c r="A22" s="80">
        <v>7</v>
      </c>
      <c r="B22" s="7">
        <f t="shared" si="0"/>
        <v>701</v>
      </c>
      <c r="C22" s="50">
        <v>60</v>
      </c>
      <c r="D22" s="50">
        <v>61</v>
      </c>
      <c r="E22" s="50">
        <v>62</v>
      </c>
      <c r="F22" s="50">
        <v>63</v>
      </c>
      <c r="G22" s="50">
        <v>64</v>
      </c>
      <c r="H22" s="50">
        <v>65</v>
      </c>
      <c r="I22" s="50">
        <v>66</v>
      </c>
      <c r="J22" s="50">
        <v>67</v>
      </c>
      <c r="K22" s="50">
        <v>59</v>
      </c>
      <c r="L22" s="50">
        <v>84</v>
      </c>
      <c r="M22" s="50">
        <v>85</v>
      </c>
      <c r="N22" s="50">
        <v>86</v>
      </c>
      <c r="O22" s="50">
        <v>87</v>
      </c>
      <c r="P22" s="128"/>
      <c r="W22" s="94"/>
      <c r="X22" s="16" t="s">
        <v>13</v>
      </c>
      <c r="Y22" s="13" cm="1">
        <f t="array" ref="Y22">CountByColor(C34:O42, X22)</f>
        <v>67</v>
      </c>
      <c r="Z22" s="74">
        <v>0.77010000000000001</v>
      </c>
    </row>
    <row r="23" spans="1:26">
      <c r="A23" s="80"/>
      <c r="B23" s="7">
        <f t="shared" si="0"/>
        <v>702</v>
      </c>
      <c r="C23" s="50">
        <v>68</v>
      </c>
      <c r="D23" s="50">
        <v>69</v>
      </c>
      <c r="E23" s="50">
        <v>70</v>
      </c>
      <c r="F23" s="66">
        <v>71</v>
      </c>
      <c r="G23" s="50">
        <v>72</v>
      </c>
      <c r="H23" s="50">
        <v>73</v>
      </c>
      <c r="I23" s="50">
        <v>74</v>
      </c>
      <c r="J23" s="50">
        <v>75</v>
      </c>
      <c r="K23" s="129"/>
      <c r="L23" s="129"/>
      <c r="M23" s="129"/>
      <c r="N23" s="129"/>
      <c r="O23" s="129"/>
      <c r="P23" s="128"/>
    </row>
    <row r="24" spans="1:26">
      <c r="A24" s="80"/>
      <c r="B24" s="7">
        <f t="shared" si="0"/>
        <v>703</v>
      </c>
      <c r="C24" s="50">
        <v>76</v>
      </c>
      <c r="D24" s="50">
        <v>77</v>
      </c>
      <c r="E24" s="50">
        <v>78</v>
      </c>
      <c r="F24" s="50">
        <v>79</v>
      </c>
      <c r="G24" s="50">
        <v>80</v>
      </c>
      <c r="H24" s="50">
        <v>81</v>
      </c>
      <c r="I24" s="50">
        <v>82</v>
      </c>
      <c r="J24" s="50">
        <v>83</v>
      </c>
      <c r="K24" s="129"/>
      <c r="L24" s="129"/>
      <c r="M24" s="129"/>
      <c r="N24" s="129"/>
      <c r="O24" s="129"/>
      <c r="P24" s="128"/>
      <c r="W24" s="92" t="s">
        <v>18</v>
      </c>
      <c r="X24" s="12" t="s">
        <v>10</v>
      </c>
      <c r="Y24" s="13">
        <f>SUM(Y25:Y27)</f>
        <v>87</v>
      </c>
      <c r="Z24" s="73">
        <v>1</v>
      </c>
    </row>
    <row r="25" spans="1:26">
      <c r="A25" s="99">
        <v>8</v>
      </c>
      <c r="B25" s="63">
        <f t="shared" si="0"/>
        <v>801</v>
      </c>
      <c r="C25" s="50">
        <v>2</v>
      </c>
      <c r="D25" s="50">
        <v>3</v>
      </c>
      <c r="E25" s="50">
        <v>4</v>
      </c>
      <c r="F25" s="50">
        <v>5</v>
      </c>
      <c r="G25" s="50">
        <v>6</v>
      </c>
      <c r="H25" s="50">
        <v>7</v>
      </c>
      <c r="I25" s="50">
        <v>8</v>
      </c>
      <c r="J25" s="66">
        <v>9</v>
      </c>
      <c r="K25" s="66">
        <v>1</v>
      </c>
      <c r="L25" s="50">
        <v>26</v>
      </c>
      <c r="M25" s="50">
        <v>27</v>
      </c>
      <c r="N25" s="50">
        <v>28</v>
      </c>
      <c r="O25" s="50">
        <v>29</v>
      </c>
      <c r="P25" s="128" t="s">
        <v>15</v>
      </c>
      <c r="W25" s="93"/>
      <c r="X25" s="14" t="s">
        <v>11</v>
      </c>
      <c r="Y25" s="13" cm="1">
        <f t="array" ref="Y25">CountByColor(C43:O51, X25)</f>
        <v>7</v>
      </c>
      <c r="Z25" s="74">
        <v>8.0500000000000002E-2</v>
      </c>
    </row>
    <row r="26" spans="1:26">
      <c r="A26" s="80"/>
      <c r="B26" s="7">
        <f t="shared" si="0"/>
        <v>802</v>
      </c>
      <c r="C26" s="50">
        <v>10</v>
      </c>
      <c r="D26" s="50">
        <v>11</v>
      </c>
      <c r="E26" s="67">
        <v>12</v>
      </c>
      <c r="F26" s="50">
        <v>13</v>
      </c>
      <c r="G26" s="50">
        <v>14</v>
      </c>
      <c r="H26" s="50">
        <v>15</v>
      </c>
      <c r="I26" s="50">
        <v>16</v>
      </c>
      <c r="J26" s="50">
        <v>17</v>
      </c>
      <c r="K26" s="129"/>
      <c r="L26" s="129"/>
      <c r="M26" s="129"/>
      <c r="N26" s="129"/>
      <c r="O26" s="129"/>
      <c r="P26" s="128"/>
      <c r="W26" s="93"/>
      <c r="X26" s="15" t="s">
        <v>12</v>
      </c>
      <c r="Y26" s="13" cm="1">
        <f t="array" ref="Y26">CountByColor(C43:O51, X26)</f>
        <v>1</v>
      </c>
      <c r="Z26" s="74">
        <v>1.15E-2</v>
      </c>
    </row>
    <row r="27" spans="1:26">
      <c r="A27" s="80"/>
      <c r="B27" s="7">
        <f t="shared" si="0"/>
        <v>803</v>
      </c>
      <c r="C27" s="50">
        <v>18</v>
      </c>
      <c r="D27" s="50">
        <v>19</v>
      </c>
      <c r="E27" s="50">
        <v>20</v>
      </c>
      <c r="F27" s="50">
        <v>21</v>
      </c>
      <c r="G27" s="50">
        <v>22</v>
      </c>
      <c r="H27" s="50">
        <v>23</v>
      </c>
      <c r="I27" s="50">
        <v>24</v>
      </c>
      <c r="J27" s="50">
        <v>25</v>
      </c>
      <c r="K27" s="129"/>
      <c r="L27" s="129"/>
      <c r="M27" s="129"/>
      <c r="N27" s="129"/>
      <c r="O27" s="129"/>
      <c r="P27" s="128"/>
      <c r="W27" s="94"/>
      <c r="X27" s="16" t="s">
        <v>13</v>
      </c>
      <c r="Y27" s="13" cm="1">
        <f t="array" ref="Y27">CountByColor(C43:O51, X27)</f>
        <v>79</v>
      </c>
      <c r="Z27" s="74">
        <v>0.90800000000000003</v>
      </c>
    </row>
    <row r="28" spans="1:26">
      <c r="A28" s="80">
        <v>9</v>
      </c>
      <c r="B28" s="7">
        <f t="shared" si="0"/>
        <v>901</v>
      </c>
      <c r="C28" s="50">
        <v>31</v>
      </c>
      <c r="D28" s="50">
        <v>32</v>
      </c>
      <c r="E28" s="50">
        <v>33</v>
      </c>
      <c r="F28" s="50">
        <v>34</v>
      </c>
      <c r="G28" s="50">
        <v>35</v>
      </c>
      <c r="H28" s="50">
        <v>36</v>
      </c>
      <c r="I28" s="50">
        <v>37</v>
      </c>
      <c r="J28" s="50">
        <v>38</v>
      </c>
      <c r="K28" s="50">
        <v>30</v>
      </c>
      <c r="L28" s="50">
        <v>55</v>
      </c>
      <c r="M28" s="50">
        <v>56</v>
      </c>
      <c r="N28" s="50">
        <v>57</v>
      </c>
      <c r="O28" s="50">
        <v>58</v>
      </c>
      <c r="P28" s="128"/>
    </row>
    <row r="29" spans="1:26">
      <c r="A29" s="80"/>
      <c r="B29" s="7">
        <f t="shared" si="0"/>
        <v>902</v>
      </c>
      <c r="C29" s="50">
        <v>39</v>
      </c>
      <c r="D29" s="50">
        <v>40</v>
      </c>
      <c r="E29" s="50">
        <v>41</v>
      </c>
      <c r="F29" s="50">
        <v>42</v>
      </c>
      <c r="G29" s="50">
        <v>43</v>
      </c>
      <c r="H29" s="50">
        <v>44</v>
      </c>
      <c r="I29" s="50">
        <v>45</v>
      </c>
      <c r="J29" s="50">
        <v>46</v>
      </c>
      <c r="K29" s="129"/>
      <c r="L29" s="129"/>
      <c r="M29" s="129"/>
      <c r="N29" s="129"/>
      <c r="O29" s="129"/>
      <c r="P29" s="128"/>
      <c r="W29" s="92" t="s">
        <v>20</v>
      </c>
      <c r="X29" s="12" t="s">
        <v>10</v>
      </c>
      <c r="Y29" s="13">
        <f>SUM(Y30:Y32)</f>
        <v>87</v>
      </c>
      <c r="Z29" s="73">
        <v>1</v>
      </c>
    </row>
    <row r="30" spans="1:26">
      <c r="A30" s="80"/>
      <c r="B30" s="7">
        <f t="shared" si="0"/>
        <v>903</v>
      </c>
      <c r="C30" s="50">
        <v>47</v>
      </c>
      <c r="D30" s="50">
        <v>48</v>
      </c>
      <c r="E30" s="50">
        <v>49</v>
      </c>
      <c r="F30" s="50">
        <v>50</v>
      </c>
      <c r="G30" s="67">
        <v>51</v>
      </c>
      <c r="H30" s="50">
        <v>52</v>
      </c>
      <c r="I30" s="50">
        <v>53</v>
      </c>
      <c r="J30" s="50">
        <v>54</v>
      </c>
      <c r="K30" s="129"/>
      <c r="L30" s="129"/>
      <c r="M30" s="129"/>
      <c r="N30" s="129"/>
      <c r="O30" s="129"/>
      <c r="P30" s="128"/>
      <c r="W30" s="93"/>
      <c r="X30" s="14" t="s">
        <v>11</v>
      </c>
      <c r="Y30" s="13" cm="1">
        <f t="array" ref="Y30">CountByColor(C52:O60, X30)</f>
        <v>5</v>
      </c>
      <c r="Z30" s="74">
        <v>5.7500000000000002E-2</v>
      </c>
    </row>
    <row r="31" spans="1:26">
      <c r="A31" s="80">
        <v>10</v>
      </c>
      <c r="B31" s="7">
        <f t="shared" si="0"/>
        <v>1001</v>
      </c>
      <c r="C31" s="50">
        <v>60</v>
      </c>
      <c r="D31" s="50">
        <v>61</v>
      </c>
      <c r="E31" s="50">
        <v>62</v>
      </c>
      <c r="F31" s="50">
        <v>63</v>
      </c>
      <c r="G31" s="50">
        <v>64</v>
      </c>
      <c r="H31" s="50">
        <v>65</v>
      </c>
      <c r="I31" s="50">
        <v>66</v>
      </c>
      <c r="J31" s="50">
        <v>67</v>
      </c>
      <c r="K31" s="66">
        <v>59</v>
      </c>
      <c r="L31" s="50">
        <v>84</v>
      </c>
      <c r="M31" s="50">
        <v>85</v>
      </c>
      <c r="N31" s="50">
        <v>86</v>
      </c>
      <c r="O31" s="50">
        <v>87</v>
      </c>
      <c r="P31" s="128"/>
      <c r="W31" s="93"/>
      <c r="X31" s="15" t="s">
        <v>12</v>
      </c>
      <c r="Y31" s="13" cm="1">
        <f t="array" ref="Y31">CountByColor(C52:O60, X31)</f>
        <v>0</v>
      </c>
      <c r="Z31" s="73">
        <v>0</v>
      </c>
    </row>
    <row r="32" spans="1:26">
      <c r="A32" s="80"/>
      <c r="B32" s="7">
        <f t="shared" si="0"/>
        <v>1002</v>
      </c>
      <c r="C32" s="50">
        <v>68</v>
      </c>
      <c r="D32" s="50">
        <v>69</v>
      </c>
      <c r="E32" s="50">
        <v>70</v>
      </c>
      <c r="F32" s="50">
        <v>71</v>
      </c>
      <c r="G32" s="50">
        <v>72</v>
      </c>
      <c r="H32" s="50">
        <v>73</v>
      </c>
      <c r="I32" s="50">
        <v>74</v>
      </c>
      <c r="J32" s="67">
        <v>75</v>
      </c>
      <c r="K32" s="129"/>
      <c r="L32" s="129"/>
      <c r="M32" s="129"/>
      <c r="N32" s="129"/>
      <c r="O32" s="129"/>
      <c r="P32" s="128"/>
      <c r="W32" s="94"/>
      <c r="X32" s="16" t="s">
        <v>13</v>
      </c>
      <c r="Y32" s="13" cm="1">
        <f t="array" ref="Y32">CountByColor(C52:O60, X32)</f>
        <v>82</v>
      </c>
      <c r="Z32" s="74">
        <v>0.9425</v>
      </c>
    </row>
    <row r="33" spans="1:26">
      <c r="A33" s="80"/>
      <c r="B33" s="7">
        <f t="shared" si="0"/>
        <v>1003</v>
      </c>
      <c r="C33" s="50">
        <v>76</v>
      </c>
      <c r="D33" s="50">
        <v>77</v>
      </c>
      <c r="E33" s="50">
        <v>78</v>
      </c>
      <c r="F33" s="50">
        <v>79</v>
      </c>
      <c r="G33" s="50">
        <v>80</v>
      </c>
      <c r="H33" s="50">
        <v>81</v>
      </c>
      <c r="I33" s="50">
        <v>82</v>
      </c>
      <c r="J33" s="50">
        <v>83</v>
      </c>
      <c r="K33" s="129"/>
      <c r="L33" s="129"/>
      <c r="M33" s="129"/>
      <c r="N33" s="129"/>
      <c r="O33" s="129"/>
      <c r="P33" s="128"/>
    </row>
    <row r="34" spans="1:26">
      <c r="A34" s="80">
        <v>11</v>
      </c>
      <c r="B34" s="7">
        <f t="shared" si="0"/>
        <v>1101</v>
      </c>
      <c r="C34" s="67">
        <v>2</v>
      </c>
      <c r="D34" s="66">
        <v>3</v>
      </c>
      <c r="E34" s="50">
        <v>4</v>
      </c>
      <c r="F34" s="50">
        <v>5</v>
      </c>
      <c r="G34" s="50">
        <v>6</v>
      </c>
      <c r="H34" s="50">
        <v>7</v>
      </c>
      <c r="I34" s="50">
        <v>8</v>
      </c>
      <c r="J34" s="50">
        <v>9</v>
      </c>
      <c r="K34" s="50">
        <v>1</v>
      </c>
      <c r="L34" s="50">
        <v>26</v>
      </c>
      <c r="M34" s="50">
        <v>27</v>
      </c>
      <c r="N34" s="50">
        <v>28</v>
      </c>
      <c r="O34" s="50">
        <v>29</v>
      </c>
      <c r="P34" s="128" t="s">
        <v>16</v>
      </c>
      <c r="W34" s="92" t="s">
        <v>21</v>
      </c>
      <c r="X34" s="12" t="s">
        <v>10</v>
      </c>
      <c r="Y34" s="13">
        <f>SUM(Y35:Y37)</f>
        <v>87</v>
      </c>
      <c r="Z34" s="73">
        <v>1</v>
      </c>
    </row>
    <row r="35" spans="1:26">
      <c r="A35" s="80"/>
      <c r="B35" s="7">
        <f t="shared" si="0"/>
        <v>1102</v>
      </c>
      <c r="C35" s="50">
        <v>10</v>
      </c>
      <c r="D35" s="50">
        <v>11</v>
      </c>
      <c r="E35" s="50">
        <v>12</v>
      </c>
      <c r="F35" s="66">
        <v>13</v>
      </c>
      <c r="G35" s="50">
        <v>14</v>
      </c>
      <c r="H35" s="50">
        <v>15</v>
      </c>
      <c r="I35" s="50">
        <v>16</v>
      </c>
      <c r="J35" s="50">
        <v>17</v>
      </c>
      <c r="K35" s="129"/>
      <c r="L35" s="129"/>
      <c r="M35" s="129"/>
      <c r="N35" s="129"/>
      <c r="O35" s="129"/>
      <c r="P35" s="128"/>
      <c r="W35" s="93"/>
      <c r="X35" s="14" t="s">
        <v>11</v>
      </c>
      <c r="Y35" s="13" cm="1">
        <f t="array" ref="Y35">CountByColor(C61:O69, X35)</f>
        <v>6</v>
      </c>
      <c r="Z35" s="74">
        <v>6.9000000000000006E-2</v>
      </c>
    </row>
    <row r="36" spans="1:26">
      <c r="A36" s="80"/>
      <c r="B36" s="7">
        <f t="shared" si="0"/>
        <v>1103</v>
      </c>
      <c r="C36" s="66">
        <v>18</v>
      </c>
      <c r="D36" s="50">
        <v>19</v>
      </c>
      <c r="E36" s="50">
        <v>20</v>
      </c>
      <c r="F36" s="50">
        <v>21</v>
      </c>
      <c r="G36" s="50">
        <v>22</v>
      </c>
      <c r="H36" s="50">
        <v>23</v>
      </c>
      <c r="I36" s="50">
        <v>24</v>
      </c>
      <c r="J36" s="50">
        <v>25</v>
      </c>
      <c r="K36" s="129"/>
      <c r="L36" s="129"/>
      <c r="M36" s="129"/>
      <c r="N36" s="129"/>
      <c r="O36" s="129"/>
      <c r="P36" s="128"/>
      <c r="W36" s="93"/>
      <c r="X36" s="15" t="s">
        <v>12</v>
      </c>
      <c r="Y36" s="13" cm="1">
        <f t="array" ref="Y36">CountByColor(C61:O69, X36)</f>
        <v>2</v>
      </c>
      <c r="Z36" s="74">
        <v>2.3E-2</v>
      </c>
    </row>
    <row r="37" spans="1:26">
      <c r="A37" s="80">
        <v>12</v>
      </c>
      <c r="B37" s="7">
        <f t="shared" si="0"/>
        <v>1201</v>
      </c>
      <c r="C37" s="66">
        <v>31</v>
      </c>
      <c r="D37" s="50">
        <v>32</v>
      </c>
      <c r="E37" s="50">
        <v>33</v>
      </c>
      <c r="F37" s="50">
        <v>34</v>
      </c>
      <c r="G37" s="50">
        <v>35</v>
      </c>
      <c r="H37" s="66">
        <v>36</v>
      </c>
      <c r="I37" s="50">
        <v>37</v>
      </c>
      <c r="J37" s="50">
        <v>38</v>
      </c>
      <c r="K37" s="50">
        <v>30</v>
      </c>
      <c r="L37" s="50">
        <v>55</v>
      </c>
      <c r="M37" s="50">
        <v>56</v>
      </c>
      <c r="N37" s="50">
        <v>57</v>
      </c>
      <c r="O37" s="50">
        <v>58</v>
      </c>
      <c r="P37" s="128"/>
      <c r="W37" s="94"/>
      <c r="X37" s="16" t="s">
        <v>13</v>
      </c>
      <c r="Y37" s="13" cm="1">
        <f t="array" ref="Y37">CountByColor(C61:O69, X37)</f>
        <v>79</v>
      </c>
      <c r="Z37" s="74">
        <v>0.90800000000000003</v>
      </c>
    </row>
    <row r="38" spans="1:26">
      <c r="A38" s="80"/>
      <c r="B38" s="7">
        <f t="shared" si="0"/>
        <v>1202</v>
      </c>
      <c r="C38" s="50">
        <v>39</v>
      </c>
      <c r="D38" s="50">
        <v>40</v>
      </c>
      <c r="E38" s="50">
        <v>41</v>
      </c>
      <c r="F38" s="50">
        <v>42</v>
      </c>
      <c r="G38" s="50">
        <v>43</v>
      </c>
      <c r="H38" s="67">
        <v>44</v>
      </c>
      <c r="I38" s="50">
        <v>45</v>
      </c>
      <c r="J38" s="50">
        <v>46</v>
      </c>
      <c r="K38" s="129"/>
      <c r="L38" s="129"/>
      <c r="M38" s="129"/>
      <c r="N38" s="129"/>
      <c r="O38" s="129"/>
      <c r="P38" s="128"/>
    </row>
    <row r="39" spans="1:26">
      <c r="A39" s="80"/>
      <c r="B39" s="7">
        <f t="shared" si="0"/>
        <v>1203</v>
      </c>
      <c r="C39" s="50">
        <v>47</v>
      </c>
      <c r="D39" s="50">
        <v>48</v>
      </c>
      <c r="E39" s="50">
        <v>49</v>
      </c>
      <c r="F39" s="50">
        <v>50</v>
      </c>
      <c r="G39" s="50">
        <v>51</v>
      </c>
      <c r="H39" s="50">
        <v>52</v>
      </c>
      <c r="I39" s="50">
        <v>53</v>
      </c>
      <c r="J39" s="66">
        <v>54</v>
      </c>
      <c r="K39" s="129"/>
      <c r="L39" s="129"/>
      <c r="M39" s="129"/>
      <c r="N39" s="129"/>
      <c r="O39" s="129"/>
      <c r="P39" s="128"/>
    </row>
    <row r="40" spans="1:26">
      <c r="A40" s="80">
        <v>13</v>
      </c>
      <c r="B40" s="7">
        <f t="shared" si="0"/>
        <v>1301</v>
      </c>
      <c r="C40" s="66">
        <v>60</v>
      </c>
      <c r="D40" s="50">
        <v>61</v>
      </c>
      <c r="E40" s="50">
        <v>62</v>
      </c>
      <c r="F40" s="50">
        <v>63</v>
      </c>
      <c r="G40" s="50">
        <v>64</v>
      </c>
      <c r="H40" s="50">
        <v>65</v>
      </c>
      <c r="I40" s="66">
        <v>66</v>
      </c>
      <c r="J40" s="67">
        <v>67</v>
      </c>
      <c r="K40" s="66">
        <v>59</v>
      </c>
      <c r="L40" s="50">
        <v>84</v>
      </c>
      <c r="M40" s="67">
        <v>85</v>
      </c>
      <c r="N40" s="50">
        <v>86</v>
      </c>
      <c r="O40" s="50">
        <v>87</v>
      </c>
      <c r="P40" s="128"/>
    </row>
    <row r="41" spans="1:26">
      <c r="A41" s="80"/>
      <c r="B41" s="7">
        <f t="shared" si="0"/>
        <v>1302</v>
      </c>
      <c r="C41" s="67">
        <v>68</v>
      </c>
      <c r="D41" s="67">
        <v>69</v>
      </c>
      <c r="E41" s="67">
        <v>70</v>
      </c>
      <c r="F41" s="67">
        <v>71</v>
      </c>
      <c r="G41" s="67">
        <v>72</v>
      </c>
      <c r="H41" s="50">
        <v>73</v>
      </c>
      <c r="I41" s="50">
        <v>74</v>
      </c>
      <c r="J41" s="50">
        <v>75</v>
      </c>
      <c r="K41" s="129"/>
      <c r="L41" s="129"/>
      <c r="M41" s="129"/>
      <c r="N41" s="129"/>
      <c r="O41" s="129"/>
      <c r="P41" s="128"/>
    </row>
    <row r="42" spans="1:26">
      <c r="A42" s="80"/>
      <c r="B42" s="7">
        <f t="shared" si="0"/>
        <v>1303</v>
      </c>
      <c r="C42" s="50">
        <v>76</v>
      </c>
      <c r="D42" s="50">
        <v>77</v>
      </c>
      <c r="E42" s="50">
        <v>78</v>
      </c>
      <c r="F42" s="67">
        <v>79</v>
      </c>
      <c r="G42" s="50">
        <v>80</v>
      </c>
      <c r="H42" s="50">
        <v>81</v>
      </c>
      <c r="I42" s="50">
        <v>82</v>
      </c>
      <c r="J42" s="66">
        <v>83</v>
      </c>
      <c r="K42" s="129"/>
      <c r="L42" s="129"/>
      <c r="M42" s="129"/>
      <c r="N42" s="129"/>
      <c r="O42" s="129"/>
      <c r="P42" s="128"/>
    </row>
    <row r="43" spans="1:26">
      <c r="A43" s="80">
        <v>14</v>
      </c>
      <c r="B43" s="7">
        <f t="shared" si="0"/>
        <v>1401</v>
      </c>
      <c r="C43" s="50">
        <v>2</v>
      </c>
      <c r="D43" s="50">
        <v>3</v>
      </c>
      <c r="E43" s="50">
        <v>4</v>
      </c>
      <c r="F43" s="50">
        <v>5</v>
      </c>
      <c r="G43" s="50">
        <v>6</v>
      </c>
      <c r="H43" s="50">
        <v>7</v>
      </c>
      <c r="I43" s="50">
        <v>8</v>
      </c>
      <c r="J43" s="50">
        <v>9</v>
      </c>
      <c r="K43" s="50">
        <v>1</v>
      </c>
      <c r="L43" s="50">
        <v>26</v>
      </c>
      <c r="M43" s="50">
        <v>27</v>
      </c>
      <c r="N43" s="50">
        <v>28</v>
      </c>
      <c r="O43" s="50">
        <v>29</v>
      </c>
      <c r="P43" s="128" t="s">
        <v>18</v>
      </c>
    </row>
    <row r="44" spans="1:26">
      <c r="A44" s="80"/>
      <c r="B44" s="7">
        <f t="shared" si="0"/>
        <v>1402</v>
      </c>
      <c r="C44" s="50">
        <v>10</v>
      </c>
      <c r="D44" s="50">
        <v>11</v>
      </c>
      <c r="E44" s="50">
        <v>12</v>
      </c>
      <c r="F44" s="50">
        <v>13</v>
      </c>
      <c r="G44" s="50">
        <v>14</v>
      </c>
      <c r="H44" s="50">
        <v>15</v>
      </c>
      <c r="I44" s="50">
        <v>16</v>
      </c>
      <c r="J44" s="50">
        <v>17</v>
      </c>
      <c r="K44" s="129"/>
      <c r="L44" s="129"/>
      <c r="M44" s="129"/>
      <c r="N44" s="129"/>
      <c r="O44" s="129"/>
      <c r="P44" s="128"/>
    </row>
    <row r="45" spans="1:26">
      <c r="A45" s="80"/>
      <c r="B45" s="7">
        <f t="shared" si="0"/>
        <v>1403</v>
      </c>
      <c r="C45" s="50">
        <v>18</v>
      </c>
      <c r="D45" s="50">
        <v>19</v>
      </c>
      <c r="E45" s="50">
        <v>20</v>
      </c>
      <c r="F45" s="50">
        <v>21</v>
      </c>
      <c r="G45" s="50">
        <v>22</v>
      </c>
      <c r="H45" s="50">
        <v>23</v>
      </c>
      <c r="I45" s="50">
        <v>24</v>
      </c>
      <c r="J45" s="50">
        <v>25</v>
      </c>
      <c r="K45" s="129"/>
      <c r="L45" s="129"/>
      <c r="M45" s="129"/>
      <c r="N45" s="129"/>
      <c r="O45" s="129"/>
      <c r="P45" s="128"/>
    </row>
    <row r="46" spans="1:26">
      <c r="A46" s="80">
        <v>15</v>
      </c>
      <c r="B46" s="7">
        <f t="shared" si="0"/>
        <v>1501</v>
      </c>
      <c r="C46" s="50">
        <v>31</v>
      </c>
      <c r="D46" s="50">
        <v>32</v>
      </c>
      <c r="E46" s="50">
        <v>33</v>
      </c>
      <c r="F46" s="66">
        <v>34</v>
      </c>
      <c r="G46" s="50">
        <v>35</v>
      </c>
      <c r="H46" s="50">
        <v>36</v>
      </c>
      <c r="I46" s="50">
        <v>37</v>
      </c>
      <c r="J46" s="50">
        <v>38</v>
      </c>
      <c r="K46" s="50">
        <v>30</v>
      </c>
      <c r="L46" s="50">
        <v>55</v>
      </c>
      <c r="M46" s="50">
        <v>56</v>
      </c>
      <c r="N46" s="50">
        <v>57</v>
      </c>
      <c r="O46" s="50">
        <v>58</v>
      </c>
      <c r="P46" s="128"/>
    </row>
    <row r="47" spans="1:26">
      <c r="A47" s="80"/>
      <c r="B47" s="7">
        <f t="shared" si="0"/>
        <v>1502</v>
      </c>
      <c r="C47" s="50">
        <v>39</v>
      </c>
      <c r="D47" s="50">
        <v>40</v>
      </c>
      <c r="E47" s="50">
        <v>41</v>
      </c>
      <c r="F47" s="66">
        <v>42</v>
      </c>
      <c r="G47" s="50">
        <v>43</v>
      </c>
      <c r="H47" s="50">
        <v>44</v>
      </c>
      <c r="I47" s="50">
        <v>45</v>
      </c>
      <c r="J47" s="50">
        <v>46</v>
      </c>
      <c r="K47" s="129"/>
      <c r="L47" s="129"/>
      <c r="M47" s="129"/>
      <c r="N47" s="129"/>
      <c r="O47" s="129"/>
      <c r="P47" s="128"/>
    </row>
    <row r="48" spans="1:26">
      <c r="A48" s="80"/>
      <c r="B48" s="7">
        <f t="shared" si="0"/>
        <v>1503</v>
      </c>
      <c r="C48" s="50">
        <v>47</v>
      </c>
      <c r="D48" s="50">
        <v>48</v>
      </c>
      <c r="E48" s="50">
        <v>49</v>
      </c>
      <c r="F48" s="50">
        <v>50</v>
      </c>
      <c r="G48" s="50">
        <v>51</v>
      </c>
      <c r="H48" s="50">
        <v>52</v>
      </c>
      <c r="I48" s="50">
        <v>53</v>
      </c>
      <c r="J48" s="50">
        <v>54</v>
      </c>
      <c r="K48" s="129"/>
      <c r="L48" s="129"/>
      <c r="M48" s="129"/>
      <c r="N48" s="129"/>
      <c r="O48" s="129"/>
      <c r="P48" s="128"/>
    </row>
    <row r="49" spans="1:16">
      <c r="A49" s="80">
        <v>16</v>
      </c>
      <c r="B49" s="7">
        <f t="shared" si="0"/>
        <v>1601</v>
      </c>
      <c r="C49" s="50">
        <v>60</v>
      </c>
      <c r="D49" s="66">
        <v>61</v>
      </c>
      <c r="E49" s="50">
        <v>62</v>
      </c>
      <c r="F49" s="50">
        <v>63</v>
      </c>
      <c r="G49" s="50">
        <v>64</v>
      </c>
      <c r="H49" s="50">
        <v>65</v>
      </c>
      <c r="I49" s="50">
        <v>66</v>
      </c>
      <c r="J49" s="50">
        <v>67</v>
      </c>
      <c r="K49" s="50">
        <v>59</v>
      </c>
      <c r="L49" s="50">
        <v>84</v>
      </c>
      <c r="M49" s="50">
        <v>85</v>
      </c>
      <c r="N49" s="50">
        <v>86</v>
      </c>
      <c r="O49" s="50">
        <v>87</v>
      </c>
      <c r="P49" s="128"/>
    </row>
    <row r="50" spans="1:16">
      <c r="A50" s="80"/>
      <c r="B50" s="7">
        <f t="shared" si="0"/>
        <v>1602</v>
      </c>
      <c r="C50" s="66">
        <v>68</v>
      </c>
      <c r="D50" s="66">
        <v>69</v>
      </c>
      <c r="E50" s="67">
        <v>70</v>
      </c>
      <c r="F50" s="66">
        <v>71</v>
      </c>
      <c r="G50" s="50">
        <v>72</v>
      </c>
      <c r="H50" s="50">
        <v>73</v>
      </c>
      <c r="I50" s="50">
        <v>74</v>
      </c>
      <c r="J50" s="50">
        <v>75</v>
      </c>
      <c r="K50" s="129"/>
      <c r="L50" s="129"/>
      <c r="M50" s="129"/>
      <c r="N50" s="129"/>
      <c r="O50" s="129"/>
      <c r="P50" s="128"/>
    </row>
    <row r="51" spans="1:16">
      <c r="A51" s="80"/>
      <c r="B51" s="7">
        <f t="shared" si="0"/>
        <v>1603</v>
      </c>
      <c r="C51" s="66">
        <v>76</v>
      </c>
      <c r="D51" s="50">
        <v>77</v>
      </c>
      <c r="E51" s="50">
        <v>78</v>
      </c>
      <c r="F51" s="50">
        <v>79</v>
      </c>
      <c r="G51" s="50">
        <v>80</v>
      </c>
      <c r="H51" s="50">
        <v>81</v>
      </c>
      <c r="I51" s="50">
        <v>82</v>
      </c>
      <c r="J51" s="50">
        <v>83</v>
      </c>
      <c r="K51" s="129"/>
      <c r="L51" s="129"/>
      <c r="M51" s="129"/>
      <c r="N51" s="129"/>
      <c r="O51" s="129"/>
      <c r="P51" s="128"/>
    </row>
    <row r="52" spans="1:16">
      <c r="A52" s="80">
        <v>17</v>
      </c>
      <c r="B52" s="7">
        <f t="shared" si="0"/>
        <v>1701</v>
      </c>
      <c r="C52" s="50">
        <v>2</v>
      </c>
      <c r="D52" s="50">
        <v>3</v>
      </c>
      <c r="E52" s="50">
        <v>4</v>
      </c>
      <c r="F52" s="50">
        <v>5</v>
      </c>
      <c r="G52" s="50">
        <v>6</v>
      </c>
      <c r="H52" s="50">
        <v>7</v>
      </c>
      <c r="I52" s="50">
        <v>8</v>
      </c>
      <c r="J52" s="66">
        <v>9</v>
      </c>
      <c r="K52" s="50">
        <v>1</v>
      </c>
      <c r="L52" s="50">
        <v>26</v>
      </c>
      <c r="M52" s="50">
        <v>27</v>
      </c>
      <c r="N52" s="50">
        <v>28</v>
      </c>
      <c r="O52" s="50">
        <v>29</v>
      </c>
      <c r="P52" s="128" t="s">
        <v>20</v>
      </c>
    </row>
    <row r="53" spans="1:16">
      <c r="A53" s="80"/>
      <c r="B53" s="7">
        <f t="shared" si="0"/>
        <v>1702</v>
      </c>
      <c r="C53" s="50">
        <v>10</v>
      </c>
      <c r="D53" s="50">
        <v>11</v>
      </c>
      <c r="E53" s="66">
        <v>12</v>
      </c>
      <c r="F53" s="50">
        <v>13</v>
      </c>
      <c r="G53" s="50">
        <v>14</v>
      </c>
      <c r="H53" s="66">
        <v>15</v>
      </c>
      <c r="I53" s="50">
        <v>16</v>
      </c>
      <c r="J53" s="50">
        <v>17</v>
      </c>
      <c r="K53" s="129"/>
      <c r="L53" s="129"/>
      <c r="M53" s="129"/>
      <c r="N53" s="129"/>
      <c r="O53" s="129"/>
      <c r="P53" s="128"/>
    </row>
    <row r="54" spans="1:16">
      <c r="A54" s="80"/>
      <c r="B54" s="7">
        <f t="shared" si="0"/>
        <v>1703</v>
      </c>
      <c r="C54" s="50">
        <v>18</v>
      </c>
      <c r="D54" s="50">
        <v>19</v>
      </c>
      <c r="E54" s="50">
        <v>20</v>
      </c>
      <c r="F54" s="50">
        <v>21</v>
      </c>
      <c r="G54" s="50">
        <v>22</v>
      </c>
      <c r="H54" s="50">
        <v>23</v>
      </c>
      <c r="I54" s="66">
        <v>24</v>
      </c>
      <c r="J54" s="50">
        <v>25</v>
      </c>
      <c r="K54" s="129"/>
      <c r="L54" s="129"/>
      <c r="M54" s="129"/>
      <c r="N54" s="129"/>
      <c r="O54" s="129"/>
      <c r="P54" s="128"/>
    </row>
    <row r="55" spans="1:16">
      <c r="A55" s="80">
        <v>18</v>
      </c>
      <c r="B55" s="7">
        <f t="shared" si="0"/>
        <v>1801</v>
      </c>
      <c r="C55" s="50">
        <v>31</v>
      </c>
      <c r="D55" s="50">
        <v>32</v>
      </c>
      <c r="E55" s="50">
        <v>33</v>
      </c>
      <c r="F55" s="50">
        <v>34</v>
      </c>
      <c r="G55" s="50">
        <v>35</v>
      </c>
      <c r="H55" s="50">
        <v>36</v>
      </c>
      <c r="I55" s="50">
        <v>37</v>
      </c>
      <c r="J55" s="50">
        <v>38</v>
      </c>
      <c r="K55" s="50">
        <v>30</v>
      </c>
      <c r="L55" s="50">
        <v>55</v>
      </c>
      <c r="M55" s="50">
        <v>56</v>
      </c>
      <c r="N55" s="50">
        <v>57</v>
      </c>
      <c r="O55" s="50">
        <v>58</v>
      </c>
      <c r="P55" s="128"/>
    </row>
    <row r="56" spans="1:16">
      <c r="A56" s="80"/>
      <c r="B56" s="7">
        <f t="shared" si="0"/>
        <v>1802</v>
      </c>
      <c r="C56" s="50">
        <v>39</v>
      </c>
      <c r="D56" s="50">
        <v>40</v>
      </c>
      <c r="E56" s="50">
        <v>41</v>
      </c>
      <c r="F56" s="66">
        <v>42</v>
      </c>
      <c r="G56" s="50">
        <v>43</v>
      </c>
      <c r="H56" s="50">
        <v>44</v>
      </c>
      <c r="I56" s="50">
        <v>45</v>
      </c>
      <c r="J56" s="50">
        <v>46</v>
      </c>
      <c r="K56" s="129"/>
      <c r="L56" s="129"/>
      <c r="M56" s="129"/>
      <c r="N56" s="129"/>
      <c r="O56" s="129"/>
      <c r="P56" s="128"/>
    </row>
    <row r="57" spans="1:16">
      <c r="A57" s="80"/>
      <c r="B57" s="7">
        <f t="shared" si="0"/>
        <v>1803</v>
      </c>
      <c r="C57" s="50">
        <v>47</v>
      </c>
      <c r="D57" s="50">
        <v>48</v>
      </c>
      <c r="E57" s="50">
        <v>49</v>
      </c>
      <c r="F57" s="50">
        <v>50</v>
      </c>
      <c r="G57" s="50">
        <v>51</v>
      </c>
      <c r="H57" s="50">
        <v>52</v>
      </c>
      <c r="I57" s="50">
        <v>53</v>
      </c>
      <c r="J57" s="50">
        <v>54</v>
      </c>
      <c r="K57" s="129"/>
      <c r="L57" s="129"/>
      <c r="M57" s="129"/>
      <c r="N57" s="129"/>
      <c r="O57" s="129"/>
      <c r="P57" s="128"/>
    </row>
    <row r="58" spans="1:16">
      <c r="A58" s="80">
        <v>19</v>
      </c>
      <c r="B58" s="7">
        <f t="shared" si="0"/>
        <v>1901</v>
      </c>
      <c r="C58" s="50">
        <v>60</v>
      </c>
      <c r="D58" s="50">
        <v>61</v>
      </c>
      <c r="E58" s="50">
        <v>62</v>
      </c>
      <c r="F58" s="50">
        <v>63</v>
      </c>
      <c r="G58" s="50">
        <v>64</v>
      </c>
      <c r="H58" s="50">
        <v>65</v>
      </c>
      <c r="I58" s="50">
        <v>66</v>
      </c>
      <c r="J58" s="50">
        <v>67</v>
      </c>
      <c r="K58" s="50">
        <v>59</v>
      </c>
      <c r="L58" s="50">
        <v>84</v>
      </c>
      <c r="M58" s="50">
        <v>85</v>
      </c>
      <c r="N58" s="50">
        <v>86</v>
      </c>
      <c r="O58" s="50">
        <v>87</v>
      </c>
      <c r="P58" s="128"/>
    </row>
    <row r="59" spans="1:16">
      <c r="A59" s="80"/>
      <c r="B59" s="7">
        <f t="shared" si="0"/>
        <v>1902</v>
      </c>
      <c r="C59" s="50">
        <v>68</v>
      </c>
      <c r="D59" s="50">
        <v>69</v>
      </c>
      <c r="E59" s="50">
        <v>70</v>
      </c>
      <c r="F59" s="50">
        <v>71</v>
      </c>
      <c r="G59" s="50">
        <v>72</v>
      </c>
      <c r="H59" s="50">
        <v>73</v>
      </c>
      <c r="I59" s="50">
        <v>74</v>
      </c>
      <c r="J59" s="50">
        <v>75</v>
      </c>
      <c r="K59" s="129"/>
      <c r="L59" s="129"/>
      <c r="M59" s="129"/>
      <c r="N59" s="129"/>
      <c r="O59" s="129"/>
      <c r="P59" s="128"/>
    </row>
    <row r="60" spans="1:16">
      <c r="A60" s="80"/>
      <c r="B60" s="7">
        <f t="shared" si="0"/>
        <v>1903</v>
      </c>
      <c r="C60" s="50">
        <v>76</v>
      </c>
      <c r="D60" s="50">
        <v>77</v>
      </c>
      <c r="E60" s="50">
        <v>78</v>
      </c>
      <c r="F60" s="50">
        <v>79</v>
      </c>
      <c r="G60" s="50">
        <v>80</v>
      </c>
      <c r="H60" s="50">
        <v>81</v>
      </c>
      <c r="I60" s="50">
        <v>82</v>
      </c>
      <c r="J60" s="50">
        <v>83</v>
      </c>
      <c r="K60" s="129"/>
      <c r="L60" s="129"/>
      <c r="M60" s="129"/>
      <c r="N60" s="129"/>
      <c r="O60" s="129"/>
      <c r="P60" s="128"/>
    </row>
    <row r="61" spans="1:16">
      <c r="A61" s="80">
        <v>20</v>
      </c>
      <c r="B61" s="7">
        <f t="shared" si="0"/>
        <v>2001</v>
      </c>
      <c r="C61" s="50">
        <v>2</v>
      </c>
      <c r="D61" s="50">
        <v>3</v>
      </c>
      <c r="E61" s="50">
        <v>4</v>
      </c>
      <c r="F61" s="50">
        <v>5</v>
      </c>
      <c r="G61" s="50">
        <v>6</v>
      </c>
      <c r="H61" s="50">
        <v>7</v>
      </c>
      <c r="I61" s="50">
        <v>8</v>
      </c>
      <c r="J61" s="50">
        <v>9</v>
      </c>
      <c r="K61" s="50">
        <v>1</v>
      </c>
      <c r="L61" s="50">
        <v>26</v>
      </c>
      <c r="M61" s="50">
        <v>27</v>
      </c>
      <c r="N61" s="50">
        <v>28</v>
      </c>
      <c r="O61" s="50">
        <v>29</v>
      </c>
      <c r="P61" s="128" t="s">
        <v>21</v>
      </c>
    </row>
    <row r="62" spans="1:16">
      <c r="A62" s="80"/>
      <c r="B62" s="7">
        <f t="shared" si="0"/>
        <v>2002</v>
      </c>
      <c r="C62" s="50">
        <v>10</v>
      </c>
      <c r="D62" s="50">
        <v>11</v>
      </c>
      <c r="E62" s="50">
        <v>12</v>
      </c>
      <c r="F62" s="66">
        <v>13</v>
      </c>
      <c r="G62" s="66">
        <v>14</v>
      </c>
      <c r="H62" s="50">
        <v>15</v>
      </c>
      <c r="I62" s="67">
        <v>16</v>
      </c>
      <c r="J62" s="50">
        <v>17</v>
      </c>
      <c r="K62" s="129"/>
      <c r="L62" s="129"/>
      <c r="M62" s="129"/>
      <c r="N62" s="129"/>
      <c r="O62" s="129"/>
      <c r="P62" s="128"/>
    </row>
    <row r="63" spans="1:16">
      <c r="A63" s="80"/>
      <c r="B63" s="7">
        <f t="shared" si="0"/>
        <v>2003</v>
      </c>
      <c r="C63" s="50">
        <v>18</v>
      </c>
      <c r="D63" s="50">
        <v>19</v>
      </c>
      <c r="E63" s="50">
        <v>20</v>
      </c>
      <c r="F63" s="50">
        <v>21</v>
      </c>
      <c r="G63" s="50">
        <v>22</v>
      </c>
      <c r="H63" s="50">
        <v>23</v>
      </c>
      <c r="I63" s="50">
        <v>24</v>
      </c>
      <c r="J63" s="50">
        <v>25</v>
      </c>
      <c r="K63" s="129"/>
      <c r="L63" s="129"/>
      <c r="M63" s="129"/>
      <c r="N63" s="129"/>
      <c r="O63" s="129"/>
      <c r="P63" s="128"/>
    </row>
    <row r="64" spans="1:16">
      <c r="A64" s="80">
        <v>21</v>
      </c>
      <c r="B64" s="7">
        <f t="shared" si="0"/>
        <v>2101</v>
      </c>
      <c r="C64" s="50">
        <v>31</v>
      </c>
      <c r="D64" s="50">
        <v>32</v>
      </c>
      <c r="E64" s="50">
        <v>33</v>
      </c>
      <c r="F64" s="50">
        <v>34</v>
      </c>
      <c r="G64" s="50">
        <v>35</v>
      </c>
      <c r="H64" s="50">
        <v>36</v>
      </c>
      <c r="I64" s="66">
        <v>37</v>
      </c>
      <c r="J64" s="50">
        <v>38</v>
      </c>
      <c r="K64" s="50">
        <v>30</v>
      </c>
      <c r="L64" s="50">
        <v>55</v>
      </c>
      <c r="M64" s="50">
        <v>56</v>
      </c>
      <c r="N64" s="50">
        <v>57</v>
      </c>
      <c r="O64" s="50">
        <v>58</v>
      </c>
      <c r="P64" s="128"/>
    </row>
    <row r="65" spans="1:16">
      <c r="A65" s="80"/>
      <c r="B65" s="7">
        <f t="shared" si="0"/>
        <v>2102</v>
      </c>
      <c r="C65" s="50">
        <v>39</v>
      </c>
      <c r="D65" s="50">
        <v>40</v>
      </c>
      <c r="E65" s="66">
        <v>41</v>
      </c>
      <c r="F65" s="50">
        <v>42</v>
      </c>
      <c r="G65" s="50">
        <v>43</v>
      </c>
      <c r="H65" s="50">
        <v>44</v>
      </c>
      <c r="I65" s="50">
        <v>45</v>
      </c>
      <c r="J65" s="50">
        <v>46</v>
      </c>
      <c r="K65" s="129"/>
      <c r="L65" s="129"/>
      <c r="M65" s="129"/>
      <c r="N65" s="129"/>
      <c r="O65" s="129"/>
      <c r="P65" s="128"/>
    </row>
    <row r="66" spans="1:16">
      <c r="A66" s="80"/>
      <c r="B66" s="7">
        <f t="shared" si="0"/>
        <v>2103</v>
      </c>
      <c r="C66" s="66">
        <v>47</v>
      </c>
      <c r="D66" s="50">
        <v>48</v>
      </c>
      <c r="E66" s="50">
        <v>49</v>
      </c>
      <c r="F66" s="50">
        <v>50</v>
      </c>
      <c r="G66" s="50">
        <v>51</v>
      </c>
      <c r="H66" s="50">
        <v>52</v>
      </c>
      <c r="I66" s="50">
        <v>53</v>
      </c>
      <c r="J66" s="50">
        <v>54</v>
      </c>
      <c r="K66" s="129"/>
      <c r="L66" s="129"/>
      <c r="M66" s="129"/>
      <c r="N66" s="129"/>
      <c r="O66" s="129"/>
      <c r="P66" s="128"/>
    </row>
    <row r="67" spans="1:16">
      <c r="A67" s="80">
        <v>22</v>
      </c>
      <c r="B67" s="7">
        <f t="shared" si="0"/>
        <v>2201</v>
      </c>
      <c r="C67" s="50">
        <v>60</v>
      </c>
      <c r="D67" s="50">
        <v>61</v>
      </c>
      <c r="E67" s="50">
        <v>62</v>
      </c>
      <c r="F67" s="50">
        <v>63</v>
      </c>
      <c r="G67" s="50">
        <v>64</v>
      </c>
      <c r="H67" s="50">
        <v>65</v>
      </c>
      <c r="I67" s="50">
        <v>66</v>
      </c>
      <c r="J67" s="50">
        <v>67</v>
      </c>
      <c r="K67" s="50">
        <v>59</v>
      </c>
      <c r="L67" s="50">
        <v>84</v>
      </c>
      <c r="M67" s="50">
        <v>85</v>
      </c>
      <c r="N67" s="50">
        <v>86</v>
      </c>
      <c r="O67" s="50">
        <v>87</v>
      </c>
      <c r="P67" s="128"/>
    </row>
    <row r="68" spans="1:16">
      <c r="A68" s="80"/>
      <c r="B68" s="7">
        <f t="shared" si="0"/>
        <v>2202</v>
      </c>
      <c r="C68" s="50">
        <v>68</v>
      </c>
      <c r="D68" s="50">
        <v>69</v>
      </c>
      <c r="E68" s="50">
        <v>70</v>
      </c>
      <c r="F68" s="50">
        <v>71</v>
      </c>
      <c r="G68" s="50">
        <v>72</v>
      </c>
      <c r="H68" s="50">
        <v>73</v>
      </c>
      <c r="I68" s="50">
        <v>74</v>
      </c>
      <c r="J68" s="66">
        <v>75</v>
      </c>
      <c r="K68" s="129"/>
      <c r="L68" s="129"/>
      <c r="M68" s="129"/>
      <c r="N68" s="129"/>
      <c r="O68" s="129"/>
      <c r="P68" s="128"/>
    </row>
    <row r="69" spans="1:16">
      <c r="A69" s="80"/>
      <c r="B69" s="7">
        <f t="shared" ref="B69" si="1">(INT((ROW()-4)/3)+1)*100 + MOD(ROW()-4,3)+1</f>
        <v>2203</v>
      </c>
      <c r="C69" s="50">
        <v>76</v>
      </c>
      <c r="D69" s="50">
        <v>77</v>
      </c>
      <c r="E69" s="50">
        <v>78</v>
      </c>
      <c r="F69" s="50">
        <v>79</v>
      </c>
      <c r="G69" s="50">
        <v>80</v>
      </c>
      <c r="H69" s="50">
        <v>81</v>
      </c>
      <c r="I69" s="67">
        <v>82</v>
      </c>
      <c r="J69" s="50">
        <v>83</v>
      </c>
      <c r="K69" s="129"/>
      <c r="L69" s="129"/>
      <c r="M69" s="129"/>
      <c r="N69" s="129"/>
      <c r="O69" s="129"/>
      <c r="P69" s="128"/>
    </row>
  </sheetData>
  <mergeCells count="69">
    <mergeCell ref="P52:P60"/>
    <mergeCell ref="K53:O54"/>
    <mergeCell ref="K56:O57"/>
    <mergeCell ref="K59:O60"/>
    <mergeCell ref="P61:P69"/>
    <mergeCell ref="K62:O63"/>
    <mergeCell ref="K65:O66"/>
    <mergeCell ref="K68:O69"/>
    <mergeCell ref="P34:P42"/>
    <mergeCell ref="K35:O36"/>
    <mergeCell ref="K38:O39"/>
    <mergeCell ref="K41:O42"/>
    <mergeCell ref="P43:P51"/>
    <mergeCell ref="K44:O45"/>
    <mergeCell ref="K47:O48"/>
    <mergeCell ref="K50:O51"/>
    <mergeCell ref="K14:O15"/>
    <mergeCell ref="K17:O18"/>
    <mergeCell ref="K20:O21"/>
    <mergeCell ref="K23:O24"/>
    <mergeCell ref="P16:P24"/>
    <mergeCell ref="K26:O27"/>
    <mergeCell ref="K29:O30"/>
    <mergeCell ref="K32:O33"/>
    <mergeCell ref="A55:A57"/>
    <mergeCell ref="A43:A45"/>
    <mergeCell ref="A46:A48"/>
    <mergeCell ref="A49:A51"/>
    <mergeCell ref="A52:A54"/>
    <mergeCell ref="A31:A33"/>
    <mergeCell ref="A34:A36"/>
    <mergeCell ref="A37:A39"/>
    <mergeCell ref="A40:A42"/>
    <mergeCell ref="A61:A63"/>
    <mergeCell ref="A64:A66"/>
    <mergeCell ref="A67:A69"/>
    <mergeCell ref="P2:P3"/>
    <mergeCell ref="A4:A6"/>
    <mergeCell ref="A7:A9"/>
    <mergeCell ref="A10:A12"/>
    <mergeCell ref="A13:A15"/>
    <mergeCell ref="A16:A18"/>
    <mergeCell ref="P4:P15"/>
    <mergeCell ref="K5:O6"/>
    <mergeCell ref="K8:O9"/>
    <mergeCell ref="K11:O12"/>
    <mergeCell ref="B2:B3"/>
    <mergeCell ref="C2:J3"/>
    <mergeCell ref="P25:P33"/>
    <mergeCell ref="A19:A21"/>
    <mergeCell ref="A22:A24"/>
    <mergeCell ref="A25:A27"/>
    <mergeCell ref="A28:A30"/>
    <mergeCell ref="A58:A60"/>
    <mergeCell ref="A1:P1"/>
    <mergeCell ref="A2:A3"/>
    <mergeCell ref="L2:L3"/>
    <mergeCell ref="M2:M3"/>
    <mergeCell ref="N2:N3"/>
    <mergeCell ref="O2:O3"/>
    <mergeCell ref="K2:K3"/>
    <mergeCell ref="W24:W27"/>
    <mergeCell ref="W29:W32"/>
    <mergeCell ref="W34:W37"/>
    <mergeCell ref="R4:R7"/>
    <mergeCell ref="W4:W7"/>
    <mergeCell ref="W9:W12"/>
    <mergeCell ref="W14:W17"/>
    <mergeCell ref="W19:W2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C63D-26C9-458A-A7EF-C70105F8300A}">
  <dimension ref="A1:V103"/>
  <sheetViews>
    <sheetView topLeftCell="J1" workbookViewId="0">
      <selection activeCell="L28" sqref="L28:L39"/>
    </sheetView>
  </sheetViews>
  <sheetFormatPr defaultRowHeight="15"/>
  <cols>
    <col min="14" max="14" width="9.7109375" bestFit="1" customWidth="1"/>
  </cols>
  <sheetData>
    <row r="1" spans="1:22">
      <c r="A1" s="77">
        <v>211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</row>
    <row r="2" spans="1:22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</row>
    <row r="3" spans="1:22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</row>
    <row r="4" spans="1:22">
      <c r="A4" s="98">
        <v>1</v>
      </c>
      <c r="B4" s="8" t="str">
        <f>INT((ROW()-4)/4)+1 &amp; TEXT(MOD(ROW()-4,4)+1,"00")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17</v>
      </c>
      <c r="H4" s="9">
        <v>18</v>
      </c>
      <c r="I4" s="9">
        <v>19</v>
      </c>
      <c r="J4" s="9">
        <v>20</v>
      </c>
      <c r="K4" s="9">
        <v>21</v>
      </c>
      <c r="L4" s="91" t="s">
        <v>9</v>
      </c>
      <c r="N4" s="92">
        <v>46000</v>
      </c>
      <c r="O4" s="12" t="s">
        <v>10</v>
      </c>
      <c r="P4" s="13">
        <f>SUM(P5:P7)</f>
        <v>525</v>
      </c>
      <c r="Q4" s="73">
        <v>1</v>
      </c>
      <c r="S4" s="92" t="s">
        <v>9</v>
      </c>
      <c r="T4" s="12" t="s">
        <v>10</v>
      </c>
      <c r="U4" s="13">
        <f>SUM(U5:U7)</f>
        <v>63</v>
      </c>
      <c r="V4" s="73">
        <v>1</v>
      </c>
    </row>
    <row r="5" spans="1:22">
      <c r="A5" s="106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9">
        <v>7</v>
      </c>
      <c r="F5" s="9">
        <v>8</v>
      </c>
      <c r="G5" s="144"/>
      <c r="H5" s="145"/>
      <c r="I5" s="145"/>
      <c r="J5" s="145"/>
      <c r="K5" s="146"/>
      <c r="L5" s="91"/>
      <c r="N5" s="93"/>
      <c r="O5" s="14" t="s">
        <v>11</v>
      </c>
      <c r="P5" s="13" cm="1">
        <f t="array" ref="P5">CountByColor(C4:K103, O5)</f>
        <v>24</v>
      </c>
      <c r="Q5" s="74">
        <v>4.5699999999999998E-2</v>
      </c>
      <c r="S5" s="93"/>
      <c r="T5" s="14" t="s">
        <v>11</v>
      </c>
      <c r="U5" s="13" cm="1">
        <f t="array" ref="U5">CountByColor(C4:K15, T5)</f>
        <v>7</v>
      </c>
      <c r="V5" s="74">
        <v>0.1111</v>
      </c>
    </row>
    <row r="6" spans="1:22">
      <c r="A6" s="106"/>
      <c r="B6" s="8" t="str">
        <f t="shared" si="0"/>
        <v>103</v>
      </c>
      <c r="C6" s="9">
        <v>9</v>
      </c>
      <c r="D6" s="11">
        <v>10</v>
      </c>
      <c r="E6" s="11">
        <v>11</v>
      </c>
      <c r="F6" s="11">
        <v>12</v>
      </c>
      <c r="G6" s="147"/>
      <c r="H6" s="148"/>
      <c r="I6" s="148"/>
      <c r="J6" s="148"/>
      <c r="K6" s="149"/>
      <c r="L6" s="91"/>
      <c r="N6" s="93"/>
      <c r="O6" s="15" t="s">
        <v>12</v>
      </c>
      <c r="P6" s="13" cm="1">
        <f t="array" ref="P6">CountByColor(C4:K103, O6)</f>
        <v>22</v>
      </c>
      <c r="Q6" s="74">
        <v>4.19E-2</v>
      </c>
      <c r="S6" s="93"/>
      <c r="T6" s="15" t="s">
        <v>12</v>
      </c>
      <c r="U6" s="13" cm="1">
        <f t="array" ref="U6">CountByColor(C4:K15, T6)</f>
        <v>4</v>
      </c>
      <c r="V6" s="74">
        <v>6.3500000000000001E-2</v>
      </c>
    </row>
    <row r="7" spans="1:22">
      <c r="A7" s="99"/>
      <c r="B7" s="8" t="str">
        <f t="shared" si="0"/>
        <v>104</v>
      </c>
      <c r="C7" s="11">
        <v>13</v>
      </c>
      <c r="D7" s="9">
        <v>14</v>
      </c>
      <c r="E7" s="10">
        <v>15</v>
      </c>
      <c r="F7" s="10">
        <v>16</v>
      </c>
      <c r="G7" s="150"/>
      <c r="H7" s="151"/>
      <c r="I7" s="151"/>
      <c r="J7" s="151"/>
      <c r="K7" s="152"/>
      <c r="L7" s="91"/>
      <c r="N7" s="94"/>
      <c r="O7" s="16" t="s">
        <v>13</v>
      </c>
      <c r="P7" s="13" cm="1">
        <f t="array" ref="P7">CountByColor(C4:K103, O7)</f>
        <v>479</v>
      </c>
      <c r="Q7" s="74">
        <v>0.91239999999999999</v>
      </c>
      <c r="S7" s="94"/>
      <c r="T7" s="16" t="s">
        <v>13</v>
      </c>
      <c r="U7" s="13" cm="1">
        <f t="array" ref="U7">CountByColor(C4:K15, T7)</f>
        <v>52</v>
      </c>
      <c r="V7" s="74">
        <v>0.82540000000000002</v>
      </c>
    </row>
    <row r="8" spans="1:22">
      <c r="A8" s="98">
        <v>2</v>
      </c>
      <c r="B8" s="8" t="str">
        <f t="shared" si="0"/>
        <v>201</v>
      </c>
      <c r="C8" s="9">
        <v>22</v>
      </c>
      <c r="D8" s="9">
        <v>23</v>
      </c>
      <c r="E8" s="9">
        <v>24</v>
      </c>
      <c r="F8" s="11">
        <v>25</v>
      </c>
      <c r="G8" s="9">
        <v>38</v>
      </c>
      <c r="H8" s="9">
        <v>39</v>
      </c>
      <c r="I8" s="9">
        <v>40</v>
      </c>
      <c r="J8" s="9">
        <v>41</v>
      </c>
      <c r="K8" s="9">
        <v>42</v>
      </c>
      <c r="L8" s="91"/>
      <c r="N8" s="21"/>
      <c r="T8" s="1"/>
      <c r="U8" s="1"/>
    </row>
    <row r="9" spans="1:22">
      <c r="A9" s="106"/>
      <c r="B9" s="8" t="str">
        <f t="shared" si="0"/>
        <v>202</v>
      </c>
      <c r="C9" s="9">
        <v>26</v>
      </c>
      <c r="D9" s="9">
        <v>27</v>
      </c>
      <c r="E9" s="9">
        <v>28</v>
      </c>
      <c r="F9" s="9">
        <v>29</v>
      </c>
      <c r="G9" s="144"/>
      <c r="H9" s="145"/>
      <c r="I9" s="145"/>
      <c r="J9" s="145"/>
      <c r="K9" s="146"/>
      <c r="L9" s="91"/>
      <c r="S9" s="92" t="s">
        <v>14</v>
      </c>
      <c r="T9" s="12" t="s">
        <v>10</v>
      </c>
      <c r="U9" s="13">
        <f>SUM(U10:U12)</f>
        <v>63</v>
      </c>
      <c r="V9" s="73">
        <v>1</v>
      </c>
    </row>
    <row r="10" spans="1:22">
      <c r="A10" s="106"/>
      <c r="B10" s="8" t="str">
        <f t="shared" si="0"/>
        <v>203</v>
      </c>
      <c r="C10" s="9">
        <v>30</v>
      </c>
      <c r="D10" s="9">
        <v>31</v>
      </c>
      <c r="E10" s="9">
        <v>32</v>
      </c>
      <c r="F10" s="9">
        <v>33</v>
      </c>
      <c r="G10" s="147"/>
      <c r="H10" s="148"/>
      <c r="I10" s="148"/>
      <c r="J10" s="148"/>
      <c r="K10" s="149"/>
      <c r="L10" s="91"/>
      <c r="S10" s="93"/>
      <c r="T10" s="14" t="s">
        <v>11</v>
      </c>
      <c r="U10" s="13" cm="1">
        <f t="array" ref="U10">CountByColor(C16:K27, T10)</f>
        <v>1</v>
      </c>
      <c r="V10" s="74">
        <v>1.5900000000000001E-2</v>
      </c>
    </row>
    <row r="11" spans="1:22">
      <c r="A11" s="99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150"/>
      <c r="H11" s="151"/>
      <c r="I11" s="151"/>
      <c r="J11" s="151"/>
      <c r="K11" s="152"/>
      <c r="L11" s="91"/>
      <c r="S11" s="93"/>
      <c r="T11" s="15" t="s">
        <v>12</v>
      </c>
      <c r="U11" s="13" cm="1">
        <f t="array" ref="U11">CountByColor(C16:K27, T11)</f>
        <v>1</v>
      </c>
      <c r="V11" s="74">
        <v>1.5900000000000001E-2</v>
      </c>
    </row>
    <row r="12" spans="1:22">
      <c r="A12" s="98">
        <v>3</v>
      </c>
      <c r="B12" s="8" t="str">
        <f t="shared" si="0"/>
        <v>301</v>
      </c>
      <c r="C12" s="9">
        <v>43</v>
      </c>
      <c r="D12" s="11">
        <v>44</v>
      </c>
      <c r="E12" s="9">
        <v>45</v>
      </c>
      <c r="F12" s="9">
        <v>46</v>
      </c>
      <c r="G12" s="10">
        <v>59</v>
      </c>
      <c r="H12" s="10">
        <v>60</v>
      </c>
      <c r="I12" s="9">
        <v>61</v>
      </c>
      <c r="J12" s="9">
        <v>62</v>
      </c>
      <c r="K12" s="9">
        <v>63</v>
      </c>
      <c r="L12" s="91"/>
      <c r="S12" s="94"/>
      <c r="T12" s="16" t="s">
        <v>13</v>
      </c>
      <c r="U12" s="13" cm="1">
        <f t="array" ref="U12">CountByColor(C16:K27, T12)</f>
        <v>61</v>
      </c>
      <c r="V12" s="74">
        <v>0.96830000000000005</v>
      </c>
    </row>
    <row r="13" spans="1:22">
      <c r="A13" s="106"/>
      <c r="B13" s="8" t="str">
        <f t="shared" si="0"/>
        <v>302</v>
      </c>
      <c r="C13" s="9">
        <v>47</v>
      </c>
      <c r="D13" s="9">
        <v>48</v>
      </c>
      <c r="E13" s="9">
        <v>49</v>
      </c>
      <c r="F13" s="9">
        <v>50</v>
      </c>
      <c r="G13" s="144"/>
      <c r="H13" s="145"/>
      <c r="I13" s="145"/>
      <c r="J13" s="145"/>
      <c r="K13" s="146"/>
      <c r="L13" s="91"/>
      <c r="S13" s="1"/>
    </row>
    <row r="14" spans="1:22">
      <c r="A14" s="106"/>
      <c r="B14" s="8" t="str">
        <f t="shared" si="0"/>
        <v>303</v>
      </c>
      <c r="C14" s="9">
        <v>51</v>
      </c>
      <c r="D14" s="9">
        <v>52</v>
      </c>
      <c r="E14" s="9">
        <v>53</v>
      </c>
      <c r="F14" s="11">
        <v>54</v>
      </c>
      <c r="G14" s="147"/>
      <c r="H14" s="148"/>
      <c r="I14" s="148"/>
      <c r="J14" s="148"/>
      <c r="K14" s="149"/>
      <c r="L14" s="91"/>
      <c r="S14" s="92" t="s">
        <v>15</v>
      </c>
      <c r="T14" s="12" t="s">
        <v>10</v>
      </c>
      <c r="U14" s="13">
        <f>SUM(U15:U17)</f>
        <v>63</v>
      </c>
      <c r="V14" s="73">
        <v>1</v>
      </c>
    </row>
    <row r="15" spans="1:22">
      <c r="A15" s="99"/>
      <c r="B15" s="8" t="str">
        <f t="shared" si="0"/>
        <v>304</v>
      </c>
      <c r="C15" s="9">
        <v>55</v>
      </c>
      <c r="D15" s="9">
        <v>56</v>
      </c>
      <c r="E15" s="9">
        <v>57</v>
      </c>
      <c r="F15" s="9">
        <v>58</v>
      </c>
      <c r="G15" s="150"/>
      <c r="H15" s="151"/>
      <c r="I15" s="151"/>
      <c r="J15" s="151"/>
      <c r="K15" s="152"/>
      <c r="L15" s="91"/>
      <c r="S15" s="93"/>
      <c r="T15" s="14" t="s">
        <v>11</v>
      </c>
      <c r="U15" s="13" cm="1">
        <f t="array" ref="U15">CountByColor(C28:K39, T15)</f>
        <v>1</v>
      </c>
      <c r="V15" s="74">
        <v>1.5900000000000001E-2</v>
      </c>
    </row>
    <row r="16" spans="1:22">
      <c r="A16" s="98">
        <v>4</v>
      </c>
      <c r="B16" s="8" t="str">
        <f t="shared" si="0"/>
        <v>401</v>
      </c>
      <c r="C16" s="9">
        <v>1</v>
      </c>
      <c r="D16" s="9">
        <v>2</v>
      </c>
      <c r="E16" s="9">
        <v>3</v>
      </c>
      <c r="F16" s="9">
        <v>4</v>
      </c>
      <c r="G16" s="9">
        <v>17</v>
      </c>
      <c r="H16" s="9">
        <v>18</v>
      </c>
      <c r="I16" s="9">
        <v>19</v>
      </c>
      <c r="J16" s="9">
        <v>20</v>
      </c>
      <c r="K16" s="9">
        <v>21</v>
      </c>
      <c r="L16" s="91" t="s">
        <v>14</v>
      </c>
      <c r="S16" s="93"/>
      <c r="T16" s="15" t="s">
        <v>12</v>
      </c>
      <c r="U16" s="13" cm="1">
        <f t="array" ref="U16">CountByColor(C28:K39, T16)</f>
        <v>0</v>
      </c>
      <c r="V16" s="73">
        <v>0</v>
      </c>
    </row>
    <row r="17" spans="1:22">
      <c r="A17" s="106"/>
      <c r="B17" s="8" t="str">
        <f t="shared" si="0"/>
        <v>402</v>
      </c>
      <c r="C17" s="9">
        <v>5</v>
      </c>
      <c r="D17" s="9">
        <v>6</v>
      </c>
      <c r="E17" s="9">
        <v>7</v>
      </c>
      <c r="F17" s="9">
        <v>8</v>
      </c>
      <c r="G17" s="144"/>
      <c r="H17" s="145"/>
      <c r="I17" s="145"/>
      <c r="J17" s="145"/>
      <c r="K17" s="146"/>
      <c r="L17" s="91"/>
      <c r="S17" s="94"/>
      <c r="T17" s="16" t="s">
        <v>13</v>
      </c>
      <c r="U17" s="13" cm="1">
        <f t="array" ref="U17">CountByColor(C28:K39, T17)</f>
        <v>62</v>
      </c>
      <c r="V17" s="74">
        <v>0.98409999999999997</v>
      </c>
    </row>
    <row r="18" spans="1:22">
      <c r="A18" s="106"/>
      <c r="B18" s="8" t="str">
        <f t="shared" si="0"/>
        <v>403</v>
      </c>
      <c r="C18" s="9">
        <v>9</v>
      </c>
      <c r="D18" s="9">
        <v>10</v>
      </c>
      <c r="E18" s="9">
        <v>11</v>
      </c>
      <c r="F18" s="9">
        <v>12</v>
      </c>
      <c r="G18" s="147"/>
      <c r="H18" s="148"/>
      <c r="I18" s="148"/>
      <c r="J18" s="148"/>
      <c r="K18" s="149"/>
      <c r="L18" s="91"/>
      <c r="S18" s="1"/>
    </row>
    <row r="19" spans="1:22">
      <c r="A19" s="99"/>
      <c r="B19" s="8" t="str">
        <f t="shared" si="0"/>
        <v>404</v>
      </c>
      <c r="C19" s="9">
        <v>13</v>
      </c>
      <c r="D19" s="9">
        <v>14</v>
      </c>
      <c r="E19" s="9">
        <v>15</v>
      </c>
      <c r="F19" s="9">
        <v>16</v>
      </c>
      <c r="G19" s="150"/>
      <c r="H19" s="151"/>
      <c r="I19" s="151"/>
      <c r="J19" s="151"/>
      <c r="K19" s="152"/>
      <c r="L19" s="91"/>
      <c r="S19" s="92" t="s">
        <v>16</v>
      </c>
      <c r="T19" s="12" t="s">
        <v>10</v>
      </c>
      <c r="U19" s="13">
        <f>SUM(U20:U22)</f>
        <v>63</v>
      </c>
      <c r="V19" s="73">
        <v>1</v>
      </c>
    </row>
    <row r="20" spans="1:22">
      <c r="A20" s="98">
        <v>5</v>
      </c>
      <c r="B20" s="8" t="str">
        <f t="shared" si="0"/>
        <v>501</v>
      </c>
      <c r="C20" s="11">
        <v>22</v>
      </c>
      <c r="D20" s="9">
        <v>23</v>
      </c>
      <c r="E20" s="9">
        <v>24</v>
      </c>
      <c r="F20" s="9">
        <v>25</v>
      </c>
      <c r="G20" s="9">
        <v>38</v>
      </c>
      <c r="H20" s="10">
        <v>39</v>
      </c>
      <c r="I20" s="9">
        <v>40</v>
      </c>
      <c r="J20" s="9">
        <v>41</v>
      </c>
      <c r="K20" s="9">
        <v>42</v>
      </c>
      <c r="L20" s="91"/>
      <c r="S20" s="93"/>
      <c r="T20" s="14" t="s">
        <v>11</v>
      </c>
      <c r="U20" s="13" cm="1">
        <f t="array" ref="U20">CountByColor(C40:K51, T20)</f>
        <v>2</v>
      </c>
      <c r="V20" s="74">
        <v>3.1699999999999999E-2</v>
      </c>
    </row>
    <row r="21" spans="1:22">
      <c r="A21" s="106"/>
      <c r="B21" s="8" t="str">
        <f t="shared" si="0"/>
        <v>502</v>
      </c>
      <c r="C21" s="9">
        <v>26</v>
      </c>
      <c r="D21" s="9">
        <v>27</v>
      </c>
      <c r="E21" s="9">
        <v>28</v>
      </c>
      <c r="F21" s="9">
        <v>29</v>
      </c>
      <c r="G21" s="144"/>
      <c r="H21" s="145"/>
      <c r="I21" s="145"/>
      <c r="J21" s="145"/>
      <c r="K21" s="146"/>
      <c r="L21" s="91"/>
      <c r="R21" s="1"/>
      <c r="S21" s="93"/>
      <c r="T21" s="15" t="s">
        <v>12</v>
      </c>
      <c r="U21" s="13" cm="1">
        <f t="array" ref="U21">CountByColor(C40:K51, T21)</f>
        <v>1</v>
      </c>
      <c r="V21" s="74">
        <v>1.5900000000000001E-2</v>
      </c>
    </row>
    <row r="22" spans="1:22">
      <c r="A22" s="106"/>
      <c r="B22" s="8" t="str">
        <f t="shared" si="0"/>
        <v>503</v>
      </c>
      <c r="C22" s="9">
        <v>30</v>
      </c>
      <c r="D22" s="9">
        <v>31</v>
      </c>
      <c r="E22" s="9">
        <v>32</v>
      </c>
      <c r="F22" s="9">
        <v>33</v>
      </c>
      <c r="G22" s="147"/>
      <c r="H22" s="148"/>
      <c r="I22" s="148"/>
      <c r="J22" s="148"/>
      <c r="K22" s="149"/>
      <c r="L22" s="91"/>
      <c r="S22" s="94"/>
      <c r="T22" s="16" t="s">
        <v>13</v>
      </c>
      <c r="U22" s="13" cm="1">
        <f t="array" ref="U22">CountByColor(C40:K51, T22)</f>
        <v>60</v>
      </c>
      <c r="V22" s="74">
        <v>0.95240000000000002</v>
      </c>
    </row>
    <row r="23" spans="1:22">
      <c r="A23" s="99"/>
      <c r="B23" s="8" t="str">
        <f t="shared" si="0"/>
        <v>504</v>
      </c>
      <c r="C23" s="9">
        <v>34</v>
      </c>
      <c r="D23" s="9">
        <v>35</v>
      </c>
      <c r="E23" s="9">
        <v>36</v>
      </c>
      <c r="F23" s="9">
        <v>37</v>
      </c>
      <c r="G23" s="150"/>
      <c r="H23" s="151"/>
      <c r="I23" s="151"/>
      <c r="J23" s="151"/>
      <c r="K23" s="152"/>
      <c r="L23" s="91"/>
      <c r="S23" s="1"/>
    </row>
    <row r="24" spans="1:22">
      <c r="A24" s="98">
        <v>6</v>
      </c>
      <c r="B24" s="8" t="str">
        <f t="shared" si="0"/>
        <v>601</v>
      </c>
      <c r="C24" s="9">
        <v>43</v>
      </c>
      <c r="D24" s="9">
        <v>44</v>
      </c>
      <c r="E24" s="9">
        <v>45</v>
      </c>
      <c r="F24" s="9">
        <v>46</v>
      </c>
      <c r="G24" s="9">
        <v>59</v>
      </c>
      <c r="H24" s="9">
        <v>60</v>
      </c>
      <c r="I24" s="9">
        <v>61</v>
      </c>
      <c r="J24" s="9">
        <v>62</v>
      </c>
      <c r="K24" s="9">
        <v>63</v>
      </c>
      <c r="L24" s="91"/>
      <c r="S24" s="92" t="s">
        <v>19</v>
      </c>
      <c r="T24" s="12" t="s">
        <v>10</v>
      </c>
      <c r="U24" s="13">
        <f>SUM(U25:U27)</f>
        <v>63</v>
      </c>
      <c r="V24" s="73">
        <v>1</v>
      </c>
    </row>
    <row r="25" spans="1:22">
      <c r="A25" s="106"/>
      <c r="B25" s="8" t="str">
        <f t="shared" si="0"/>
        <v>602</v>
      </c>
      <c r="C25" s="9">
        <v>47</v>
      </c>
      <c r="D25" s="9">
        <v>48</v>
      </c>
      <c r="E25" s="9">
        <v>49</v>
      </c>
      <c r="F25" s="9">
        <v>50</v>
      </c>
      <c r="G25" s="144"/>
      <c r="H25" s="145"/>
      <c r="I25" s="145"/>
      <c r="J25" s="145"/>
      <c r="K25" s="146"/>
      <c r="L25" s="91"/>
      <c r="S25" s="93"/>
      <c r="T25" s="14" t="s">
        <v>11</v>
      </c>
      <c r="U25" s="13" cm="1">
        <f t="array" ref="U25">CountByColor(C52:K63, T25)</f>
        <v>6</v>
      </c>
      <c r="V25" s="74">
        <v>9.5200000000000007E-2</v>
      </c>
    </row>
    <row r="26" spans="1:22">
      <c r="A26" s="106"/>
      <c r="B26" s="8" t="str">
        <f t="shared" si="0"/>
        <v>603</v>
      </c>
      <c r="C26" s="9">
        <v>51</v>
      </c>
      <c r="D26" s="9">
        <v>52</v>
      </c>
      <c r="E26" s="9">
        <v>53</v>
      </c>
      <c r="F26" s="9">
        <v>54</v>
      </c>
      <c r="G26" s="147"/>
      <c r="H26" s="148"/>
      <c r="I26" s="148"/>
      <c r="J26" s="148"/>
      <c r="K26" s="149"/>
      <c r="L26" s="91"/>
      <c r="S26" s="93"/>
      <c r="T26" s="15" t="s">
        <v>12</v>
      </c>
      <c r="U26" s="13" cm="1">
        <f t="array" ref="U26">CountByColor(C52:K63, T26)</f>
        <v>10</v>
      </c>
      <c r="V26" s="74">
        <v>0.15870000000000001</v>
      </c>
    </row>
    <row r="27" spans="1:22">
      <c r="A27" s="99"/>
      <c r="B27" s="8" t="str">
        <f t="shared" si="0"/>
        <v>604</v>
      </c>
      <c r="C27" s="9">
        <v>55</v>
      </c>
      <c r="D27" s="9">
        <v>56</v>
      </c>
      <c r="E27" s="9">
        <v>57</v>
      </c>
      <c r="F27" s="9">
        <v>58</v>
      </c>
      <c r="G27" s="150"/>
      <c r="H27" s="151"/>
      <c r="I27" s="151"/>
      <c r="J27" s="151"/>
      <c r="K27" s="152"/>
      <c r="L27" s="91"/>
      <c r="S27" s="94"/>
      <c r="T27" s="16" t="s">
        <v>13</v>
      </c>
      <c r="U27" s="13" cm="1">
        <f t="array" ref="U27">CountByColor(C52:K63, T27)</f>
        <v>47</v>
      </c>
      <c r="V27" s="74">
        <v>0.746</v>
      </c>
    </row>
    <row r="28" spans="1:22">
      <c r="A28" s="98">
        <v>7</v>
      </c>
      <c r="B28" s="8" t="str">
        <f t="shared" si="0"/>
        <v>701</v>
      </c>
      <c r="C28" s="9">
        <v>1</v>
      </c>
      <c r="D28" s="9">
        <v>2</v>
      </c>
      <c r="E28" s="9">
        <v>3</v>
      </c>
      <c r="F28" s="9">
        <v>4</v>
      </c>
      <c r="G28" s="9">
        <v>17</v>
      </c>
      <c r="H28" s="9">
        <v>18</v>
      </c>
      <c r="I28" s="9">
        <v>19</v>
      </c>
      <c r="J28" s="9">
        <v>20</v>
      </c>
      <c r="K28" s="9">
        <v>21</v>
      </c>
      <c r="L28" s="91" t="s">
        <v>15</v>
      </c>
      <c r="S28" s="1"/>
    </row>
    <row r="29" spans="1:22">
      <c r="A29" s="106"/>
      <c r="B29" s="8" t="str">
        <f t="shared" si="0"/>
        <v>702</v>
      </c>
      <c r="C29" s="9">
        <v>5</v>
      </c>
      <c r="D29" s="9">
        <v>6</v>
      </c>
      <c r="E29" s="9">
        <v>7</v>
      </c>
      <c r="F29" s="9">
        <v>8</v>
      </c>
      <c r="G29" s="144"/>
      <c r="H29" s="145"/>
      <c r="I29" s="145"/>
      <c r="J29" s="145"/>
      <c r="K29" s="146"/>
      <c r="L29" s="91"/>
      <c r="S29" s="92" t="s">
        <v>20</v>
      </c>
      <c r="T29" s="12" t="s">
        <v>10</v>
      </c>
      <c r="U29" s="13">
        <f>SUM(U30:U32)</f>
        <v>63</v>
      </c>
      <c r="V29" s="73">
        <v>1</v>
      </c>
    </row>
    <row r="30" spans="1:22">
      <c r="A30" s="106"/>
      <c r="B30" s="8" t="str">
        <f t="shared" si="0"/>
        <v>703</v>
      </c>
      <c r="C30" s="9">
        <v>9</v>
      </c>
      <c r="D30" s="9">
        <v>10</v>
      </c>
      <c r="E30" s="9">
        <v>11</v>
      </c>
      <c r="F30" s="9">
        <v>12</v>
      </c>
      <c r="G30" s="147"/>
      <c r="H30" s="148"/>
      <c r="I30" s="148"/>
      <c r="J30" s="148"/>
      <c r="K30" s="149"/>
      <c r="L30" s="91"/>
      <c r="S30" s="93"/>
      <c r="T30" s="14" t="s">
        <v>11</v>
      </c>
      <c r="U30" s="13" cm="1">
        <f t="array" ref="U30">CountByColor(C64:K75, T30)</f>
        <v>1</v>
      </c>
      <c r="V30" s="74">
        <v>1.5900000000000001E-2</v>
      </c>
    </row>
    <row r="31" spans="1:22">
      <c r="A31" s="99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150"/>
      <c r="H31" s="151"/>
      <c r="I31" s="151"/>
      <c r="J31" s="151"/>
      <c r="K31" s="152"/>
      <c r="L31" s="91"/>
      <c r="O31" s="6"/>
      <c r="S31" s="93"/>
      <c r="T31" s="15" t="s">
        <v>12</v>
      </c>
      <c r="U31" s="13" cm="1">
        <f t="array" ref="U31">CountByColor(C64:K75, T31)</f>
        <v>3</v>
      </c>
      <c r="V31" s="74">
        <v>4.7600000000000003E-2</v>
      </c>
    </row>
    <row r="32" spans="1:22">
      <c r="A32" s="98">
        <v>8</v>
      </c>
      <c r="B32" s="8" t="str">
        <f t="shared" si="0"/>
        <v>801</v>
      </c>
      <c r="C32" s="9">
        <v>22</v>
      </c>
      <c r="D32" s="9">
        <v>23</v>
      </c>
      <c r="E32" s="9">
        <v>24</v>
      </c>
      <c r="F32" s="9">
        <v>25</v>
      </c>
      <c r="G32" s="9">
        <v>38</v>
      </c>
      <c r="H32" s="9">
        <v>39</v>
      </c>
      <c r="I32" s="9">
        <v>40</v>
      </c>
      <c r="J32" s="9">
        <v>41</v>
      </c>
      <c r="K32" s="9">
        <v>42</v>
      </c>
      <c r="L32" s="91"/>
      <c r="O32" s="6"/>
      <c r="S32" s="94"/>
      <c r="T32" s="16" t="s">
        <v>13</v>
      </c>
      <c r="U32" s="13" cm="1">
        <f t="array" ref="U32">CountByColor(C64:K75, T32)</f>
        <v>59</v>
      </c>
      <c r="V32" s="74">
        <v>0.9365</v>
      </c>
    </row>
    <row r="33" spans="1:22">
      <c r="A33" s="106"/>
      <c r="B33" s="8" t="str">
        <f t="shared" si="0"/>
        <v>802</v>
      </c>
      <c r="C33" s="9">
        <v>26</v>
      </c>
      <c r="D33" s="9">
        <v>27</v>
      </c>
      <c r="E33" s="9">
        <v>28</v>
      </c>
      <c r="F33" s="9">
        <v>29</v>
      </c>
      <c r="G33" s="144"/>
      <c r="H33" s="145"/>
      <c r="I33" s="145"/>
      <c r="J33" s="145"/>
      <c r="K33" s="146"/>
      <c r="L33" s="91"/>
      <c r="O33" s="6"/>
      <c r="S33" s="1"/>
    </row>
    <row r="34" spans="1:22">
      <c r="A34" s="106"/>
      <c r="B34" s="8" t="str">
        <f t="shared" si="0"/>
        <v>803</v>
      </c>
      <c r="C34" s="9">
        <v>30</v>
      </c>
      <c r="D34" s="9">
        <v>31</v>
      </c>
      <c r="E34" s="9">
        <v>32</v>
      </c>
      <c r="F34" s="9">
        <v>33</v>
      </c>
      <c r="G34" s="147"/>
      <c r="H34" s="148"/>
      <c r="I34" s="148"/>
      <c r="J34" s="148"/>
      <c r="K34" s="149"/>
      <c r="L34" s="91"/>
      <c r="O34" s="6"/>
      <c r="S34" s="92" t="s">
        <v>21</v>
      </c>
      <c r="T34" s="12" t="s">
        <v>10</v>
      </c>
      <c r="U34" s="13">
        <f>SUM(U35:U37)</f>
        <v>84</v>
      </c>
      <c r="V34" s="73">
        <v>1</v>
      </c>
    </row>
    <row r="35" spans="1:22">
      <c r="A35" s="99"/>
      <c r="B35" s="8" t="str">
        <f t="shared" si="0"/>
        <v>804</v>
      </c>
      <c r="C35" s="9">
        <v>34</v>
      </c>
      <c r="D35" s="9">
        <v>35</v>
      </c>
      <c r="E35" s="9">
        <v>36</v>
      </c>
      <c r="F35" s="9">
        <v>37</v>
      </c>
      <c r="G35" s="150"/>
      <c r="H35" s="151"/>
      <c r="I35" s="151"/>
      <c r="J35" s="151"/>
      <c r="K35" s="152"/>
      <c r="L35" s="91"/>
      <c r="O35" s="6"/>
      <c r="S35" s="93"/>
      <c r="T35" s="14" t="s">
        <v>11</v>
      </c>
      <c r="U35" s="13" cm="1">
        <f t="array" ref="U35">CountByColor(C76:K91, T35)</f>
        <v>5</v>
      </c>
      <c r="V35" s="74">
        <v>5.9499999999999997E-2</v>
      </c>
    </row>
    <row r="36" spans="1:22">
      <c r="A36" s="98">
        <v>9</v>
      </c>
      <c r="B36" s="8" t="str">
        <f t="shared" si="0"/>
        <v>901</v>
      </c>
      <c r="C36" s="9">
        <v>43</v>
      </c>
      <c r="D36" s="9">
        <v>44</v>
      </c>
      <c r="E36" s="9">
        <v>45</v>
      </c>
      <c r="F36" s="9">
        <v>46</v>
      </c>
      <c r="G36" s="11">
        <v>59</v>
      </c>
      <c r="H36" s="9">
        <v>60</v>
      </c>
      <c r="I36" s="9">
        <v>61</v>
      </c>
      <c r="J36" s="9">
        <v>62</v>
      </c>
      <c r="K36" s="9">
        <v>63</v>
      </c>
      <c r="L36" s="91"/>
      <c r="N36" s="1"/>
      <c r="O36" s="6"/>
      <c r="S36" s="93"/>
      <c r="T36" s="15" t="s">
        <v>12</v>
      </c>
      <c r="U36" s="13" cm="1">
        <f t="array" ref="U36">CountByColor(C76:L91, T36)</f>
        <v>2</v>
      </c>
      <c r="V36" s="74">
        <v>2.3800000000000002E-2</v>
      </c>
    </row>
    <row r="37" spans="1:22">
      <c r="A37" s="106"/>
      <c r="B37" s="8" t="str">
        <f t="shared" si="0"/>
        <v>902</v>
      </c>
      <c r="C37" s="9">
        <v>47</v>
      </c>
      <c r="D37" s="9">
        <v>48</v>
      </c>
      <c r="E37" s="9">
        <v>49</v>
      </c>
      <c r="F37" s="9">
        <v>50</v>
      </c>
      <c r="G37" s="144"/>
      <c r="H37" s="145"/>
      <c r="I37" s="145"/>
      <c r="J37" s="145"/>
      <c r="K37" s="146"/>
      <c r="L37" s="91"/>
      <c r="N37" s="1"/>
      <c r="O37" s="6"/>
      <c r="S37" s="94"/>
      <c r="T37" s="16" t="s">
        <v>13</v>
      </c>
      <c r="U37" s="13" cm="1">
        <f t="array" ref="U37">CountByColor(C76:K91, T37)</f>
        <v>77</v>
      </c>
      <c r="V37" s="74">
        <v>0.91669999999999996</v>
      </c>
    </row>
    <row r="38" spans="1:22">
      <c r="A38" s="106"/>
      <c r="B38" s="8" t="str">
        <f t="shared" si="0"/>
        <v>903</v>
      </c>
      <c r="C38" s="9">
        <v>51</v>
      </c>
      <c r="D38" s="9">
        <v>52</v>
      </c>
      <c r="E38" s="9">
        <v>53</v>
      </c>
      <c r="F38" s="9">
        <v>54</v>
      </c>
      <c r="G38" s="147"/>
      <c r="H38" s="148"/>
      <c r="I38" s="148"/>
      <c r="J38" s="148"/>
      <c r="K38" s="149"/>
      <c r="L38" s="91"/>
      <c r="N38" s="1"/>
      <c r="S38" s="1"/>
    </row>
    <row r="39" spans="1:22">
      <c r="A39" s="99"/>
      <c r="B39" s="8" t="str">
        <f t="shared" si="0"/>
        <v>904</v>
      </c>
      <c r="C39" s="9">
        <v>55</v>
      </c>
      <c r="D39" s="9">
        <v>56</v>
      </c>
      <c r="E39" s="9">
        <v>57</v>
      </c>
      <c r="F39" s="9">
        <v>58</v>
      </c>
      <c r="G39" s="150"/>
      <c r="H39" s="151"/>
      <c r="I39" s="151"/>
      <c r="J39" s="151"/>
      <c r="K39" s="152"/>
      <c r="L39" s="91"/>
      <c r="N39" s="17"/>
      <c r="S39" s="92" t="s">
        <v>22</v>
      </c>
      <c r="T39" s="12" t="s">
        <v>10</v>
      </c>
      <c r="U39" s="13">
        <f>SUM(U40:U42)</f>
        <v>63</v>
      </c>
      <c r="V39" s="73">
        <v>1</v>
      </c>
    </row>
    <row r="40" spans="1:22">
      <c r="A40" s="98">
        <v>10</v>
      </c>
      <c r="B40" s="8" t="str">
        <f t="shared" si="0"/>
        <v>1001</v>
      </c>
      <c r="C40" s="9">
        <v>1</v>
      </c>
      <c r="D40" s="9">
        <v>2</v>
      </c>
      <c r="E40" s="9">
        <v>3</v>
      </c>
      <c r="F40" s="9">
        <v>4</v>
      </c>
      <c r="G40" s="9">
        <v>17</v>
      </c>
      <c r="H40" s="9">
        <v>18</v>
      </c>
      <c r="I40" s="9">
        <v>19</v>
      </c>
      <c r="J40" s="9">
        <v>20</v>
      </c>
      <c r="K40" s="9">
        <v>21</v>
      </c>
      <c r="L40" s="91" t="s">
        <v>16</v>
      </c>
      <c r="M40" s="1"/>
      <c r="N40" s="6"/>
      <c r="R40" s="1"/>
      <c r="S40" s="93"/>
      <c r="T40" s="14" t="s">
        <v>11</v>
      </c>
      <c r="U40" s="13" cm="1">
        <f t="array" ref="U40">CountByColor(C92:L103, T40)</f>
        <v>1</v>
      </c>
      <c r="V40" s="74">
        <v>1.5900000000000001E-2</v>
      </c>
    </row>
    <row r="41" spans="1:22">
      <c r="A41" s="106"/>
      <c r="B41" s="8" t="str">
        <f t="shared" si="0"/>
        <v>1002</v>
      </c>
      <c r="C41" s="9">
        <v>5</v>
      </c>
      <c r="D41" s="9">
        <v>6</v>
      </c>
      <c r="E41" s="9">
        <v>7</v>
      </c>
      <c r="F41" s="9">
        <v>8</v>
      </c>
      <c r="G41" s="144"/>
      <c r="H41" s="145"/>
      <c r="I41" s="145"/>
      <c r="J41" s="145"/>
      <c r="K41" s="146"/>
      <c r="L41" s="91"/>
      <c r="M41" s="1"/>
      <c r="N41" s="6"/>
      <c r="R41" s="1"/>
      <c r="S41" s="93"/>
      <c r="T41" s="15" t="s">
        <v>12</v>
      </c>
      <c r="U41" s="13" cm="1">
        <f t="array" ref="U41">CountByColor(C92:K103, T41)</f>
        <v>1</v>
      </c>
      <c r="V41" s="74">
        <v>1.5900000000000001E-2</v>
      </c>
    </row>
    <row r="42" spans="1:22">
      <c r="A42" s="106"/>
      <c r="B42" s="8" t="str">
        <f t="shared" si="0"/>
        <v>1003</v>
      </c>
      <c r="C42" s="11">
        <v>9</v>
      </c>
      <c r="D42" s="9">
        <v>10</v>
      </c>
      <c r="E42" s="9">
        <v>11</v>
      </c>
      <c r="F42" s="11">
        <v>12</v>
      </c>
      <c r="G42" s="147"/>
      <c r="H42" s="148"/>
      <c r="I42" s="148"/>
      <c r="J42" s="148"/>
      <c r="K42" s="149"/>
      <c r="L42" s="91"/>
      <c r="M42" s="1"/>
      <c r="N42" s="6"/>
      <c r="R42" s="1"/>
      <c r="S42" s="94"/>
      <c r="T42" s="16" t="s">
        <v>13</v>
      </c>
      <c r="U42" s="13" cm="1">
        <f t="array" ref="U42">CountByColor(C92:K103, T42)</f>
        <v>61</v>
      </c>
      <c r="V42" s="74">
        <v>0.96830000000000005</v>
      </c>
    </row>
    <row r="43" spans="1:22">
      <c r="A43" s="99"/>
      <c r="B43" s="8" t="str">
        <f t="shared" si="0"/>
        <v>1004</v>
      </c>
      <c r="C43" s="9">
        <v>13</v>
      </c>
      <c r="D43" s="9">
        <v>14</v>
      </c>
      <c r="E43" s="9">
        <v>15</v>
      </c>
      <c r="F43" s="10">
        <v>16</v>
      </c>
      <c r="G43" s="150"/>
      <c r="H43" s="151"/>
      <c r="I43" s="151"/>
      <c r="J43" s="151"/>
      <c r="K43" s="152"/>
      <c r="L43" s="91"/>
      <c r="M43" s="1"/>
      <c r="N43" s="6"/>
      <c r="R43" s="1"/>
    </row>
    <row r="44" spans="1:22">
      <c r="A44" s="98">
        <v>11</v>
      </c>
      <c r="B44" s="8" t="str">
        <f t="shared" si="0"/>
        <v>1101</v>
      </c>
      <c r="C44" s="9">
        <v>22</v>
      </c>
      <c r="D44" s="9">
        <v>23</v>
      </c>
      <c r="E44" s="9">
        <v>24</v>
      </c>
      <c r="F44" s="9">
        <v>25</v>
      </c>
      <c r="G44" s="9">
        <v>38</v>
      </c>
      <c r="H44" s="9">
        <v>39</v>
      </c>
      <c r="I44" s="9">
        <v>40</v>
      </c>
      <c r="J44" s="9">
        <v>41</v>
      </c>
      <c r="K44" s="9">
        <v>42</v>
      </c>
      <c r="L44" s="91"/>
      <c r="M44" s="1"/>
      <c r="N44" s="6"/>
      <c r="R44" s="1"/>
    </row>
    <row r="45" spans="1:22">
      <c r="A45" s="106"/>
      <c r="B45" s="8" t="str">
        <f t="shared" si="0"/>
        <v>1102</v>
      </c>
      <c r="C45" s="9">
        <v>26</v>
      </c>
      <c r="D45" s="9">
        <v>27</v>
      </c>
      <c r="E45" s="9">
        <v>28</v>
      </c>
      <c r="F45" s="9">
        <v>29</v>
      </c>
      <c r="G45" s="144"/>
      <c r="H45" s="145"/>
      <c r="I45" s="145"/>
      <c r="J45" s="145"/>
      <c r="K45" s="146"/>
      <c r="L45" s="91"/>
      <c r="M45" s="1"/>
      <c r="N45" s="6"/>
      <c r="R45" s="1"/>
    </row>
    <row r="46" spans="1:22">
      <c r="A46" s="106"/>
      <c r="B46" s="8" t="str">
        <f t="shared" si="0"/>
        <v>1103</v>
      </c>
      <c r="C46" s="9">
        <v>30</v>
      </c>
      <c r="D46" s="9">
        <v>31</v>
      </c>
      <c r="E46" s="9">
        <v>32</v>
      </c>
      <c r="F46" s="9">
        <v>33</v>
      </c>
      <c r="G46" s="147"/>
      <c r="H46" s="148"/>
      <c r="I46" s="148"/>
      <c r="J46" s="148"/>
      <c r="K46" s="149"/>
      <c r="L46" s="91"/>
      <c r="M46" s="1"/>
      <c r="N46" s="6"/>
      <c r="R46" s="1"/>
    </row>
    <row r="47" spans="1:22">
      <c r="A47" s="99"/>
      <c r="B47" s="8" t="str">
        <f t="shared" si="0"/>
        <v>1104</v>
      </c>
      <c r="C47" s="9">
        <v>34</v>
      </c>
      <c r="D47" s="9">
        <v>35</v>
      </c>
      <c r="E47" s="9">
        <v>36</v>
      </c>
      <c r="F47" s="9">
        <v>37</v>
      </c>
      <c r="G47" s="150"/>
      <c r="H47" s="151"/>
      <c r="I47" s="151"/>
      <c r="J47" s="151"/>
      <c r="K47" s="152"/>
      <c r="L47" s="91"/>
      <c r="M47" s="1"/>
      <c r="N47" s="6"/>
      <c r="R47" s="1"/>
    </row>
    <row r="48" spans="1:22">
      <c r="A48" s="80">
        <v>12</v>
      </c>
      <c r="B48" s="8" t="str">
        <f t="shared" si="0"/>
        <v>1201</v>
      </c>
      <c r="C48" s="9">
        <v>43</v>
      </c>
      <c r="D48" s="9">
        <v>44</v>
      </c>
      <c r="E48" s="9">
        <v>45</v>
      </c>
      <c r="F48" s="9">
        <v>46</v>
      </c>
      <c r="G48" s="9">
        <v>59</v>
      </c>
      <c r="H48" s="9">
        <v>60</v>
      </c>
      <c r="I48" s="9">
        <v>61</v>
      </c>
      <c r="J48" s="9">
        <v>62</v>
      </c>
      <c r="K48" s="9">
        <v>63</v>
      </c>
      <c r="L48" s="91"/>
      <c r="M48" s="1"/>
      <c r="N48" s="6"/>
      <c r="O48" s="6"/>
      <c r="R48" s="1"/>
    </row>
    <row r="49" spans="1:18">
      <c r="A49" s="80"/>
      <c r="B49" s="8" t="str">
        <f t="shared" si="0"/>
        <v>1202</v>
      </c>
      <c r="C49" s="9">
        <v>47</v>
      </c>
      <c r="D49" s="9">
        <v>48</v>
      </c>
      <c r="E49" s="9">
        <v>49</v>
      </c>
      <c r="F49" s="9">
        <v>50</v>
      </c>
      <c r="G49" s="144"/>
      <c r="H49" s="145"/>
      <c r="I49" s="145"/>
      <c r="J49" s="145"/>
      <c r="K49" s="146"/>
      <c r="L49" s="91"/>
      <c r="M49" s="1"/>
      <c r="N49" s="6"/>
      <c r="O49" s="6"/>
      <c r="R49" s="1"/>
    </row>
    <row r="50" spans="1:18">
      <c r="A50" s="80"/>
      <c r="B50" s="8" t="str">
        <f t="shared" si="0"/>
        <v>1203</v>
      </c>
      <c r="C50" s="9">
        <v>51</v>
      </c>
      <c r="D50" s="9">
        <v>52</v>
      </c>
      <c r="E50" s="9">
        <v>53</v>
      </c>
      <c r="F50" s="9">
        <v>54</v>
      </c>
      <c r="G50" s="147"/>
      <c r="H50" s="148"/>
      <c r="I50" s="148"/>
      <c r="J50" s="148"/>
      <c r="K50" s="149"/>
      <c r="L50" s="91"/>
      <c r="O50" s="6"/>
    </row>
    <row r="51" spans="1:18">
      <c r="A51" s="80"/>
      <c r="B51" s="8" t="str">
        <f t="shared" si="0"/>
        <v>1204</v>
      </c>
      <c r="C51" s="9">
        <v>55</v>
      </c>
      <c r="D51" s="9">
        <v>56</v>
      </c>
      <c r="E51" s="9">
        <v>57</v>
      </c>
      <c r="F51" s="9">
        <v>58</v>
      </c>
      <c r="G51" s="150"/>
      <c r="H51" s="151"/>
      <c r="I51" s="151"/>
      <c r="J51" s="151"/>
      <c r="K51" s="152"/>
      <c r="L51" s="91"/>
      <c r="O51" s="6"/>
    </row>
    <row r="52" spans="1:18">
      <c r="A52" s="98">
        <v>13</v>
      </c>
      <c r="B52" s="8" t="str">
        <f t="shared" si="0"/>
        <v>1301</v>
      </c>
      <c r="C52" s="9">
        <v>1</v>
      </c>
      <c r="D52" s="9">
        <v>2</v>
      </c>
      <c r="E52" s="9">
        <v>3</v>
      </c>
      <c r="F52" s="9">
        <v>4</v>
      </c>
      <c r="G52" s="9">
        <v>17</v>
      </c>
      <c r="H52" s="9">
        <v>18</v>
      </c>
      <c r="I52" s="9">
        <v>19</v>
      </c>
      <c r="J52" s="9">
        <v>20</v>
      </c>
      <c r="K52" s="9">
        <v>21</v>
      </c>
      <c r="L52" s="91" t="s">
        <v>18</v>
      </c>
      <c r="O52" s="6"/>
    </row>
    <row r="53" spans="1:18">
      <c r="A53" s="106"/>
      <c r="B53" s="8" t="str">
        <f t="shared" si="0"/>
        <v>1302</v>
      </c>
      <c r="C53" s="9">
        <v>5</v>
      </c>
      <c r="D53" s="9">
        <v>6</v>
      </c>
      <c r="E53" s="9">
        <v>7</v>
      </c>
      <c r="F53" s="9">
        <v>8</v>
      </c>
      <c r="G53" s="144"/>
      <c r="H53" s="145"/>
      <c r="I53" s="145"/>
      <c r="J53" s="145"/>
      <c r="K53" s="146"/>
      <c r="L53" s="91"/>
      <c r="O53" s="6"/>
    </row>
    <row r="54" spans="1:18">
      <c r="A54" s="106"/>
      <c r="B54" s="8" t="str">
        <f t="shared" si="0"/>
        <v>1303</v>
      </c>
      <c r="C54" s="9">
        <v>9</v>
      </c>
      <c r="D54" s="9">
        <v>10</v>
      </c>
      <c r="E54" s="9">
        <v>11</v>
      </c>
      <c r="F54" s="11">
        <v>12</v>
      </c>
      <c r="G54" s="147"/>
      <c r="H54" s="148"/>
      <c r="I54" s="148"/>
      <c r="J54" s="148"/>
      <c r="K54" s="149"/>
      <c r="L54" s="91"/>
      <c r="O54" s="6"/>
    </row>
    <row r="55" spans="1:18">
      <c r="A55" s="99"/>
      <c r="B55" s="8" t="str">
        <f t="shared" si="0"/>
        <v>1304</v>
      </c>
      <c r="C55" s="9">
        <v>13</v>
      </c>
      <c r="D55" s="9">
        <v>14</v>
      </c>
      <c r="E55" s="9">
        <v>15</v>
      </c>
      <c r="F55" s="11">
        <v>16</v>
      </c>
      <c r="G55" s="150"/>
      <c r="H55" s="151"/>
      <c r="I55" s="151"/>
      <c r="J55" s="151"/>
      <c r="K55" s="152"/>
      <c r="L55" s="91"/>
      <c r="O55" s="6"/>
    </row>
    <row r="56" spans="1:18">
      <c r="A56" s="98">
        <v>14</v>
      </c>
      <c r="B56" s="8" t="str">
        <f t="shared" si="0"/>
        <v>1401</v>
      </c>
      <c r="C56" s="9">
        <v>22</v>
      </c>
      <c r="D56" s="9">
        <v>23</v>
      </c>
      <c r="E56" s="11">
        <v>24</v>
      </c>
      <c r="F56" s="9">
        <v>25</v>
      </c>
      <c r="G56" s="10">
        <v>38</v>
      </c>
      <c r="H56" s="10">
        <v>39</v>
      </c>
      <c r="I56" s="9">
        <v>40</v>
      </c>
      <c r="J56" s="9">
        <v>41</v>
      </c>
      <c r="K56" s="10">
        <v>42</v>
      </c>
      <c r="L56" s="91"/>
      <c r="O56" s="6"/>
    </row>
    <row r="57" spans="1:18">
      <c r="A57" s="106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144"/>
      <c r="H57" s="145"/>
      <c r="I57" s="145"/>
      <c r="J57" s="145"/>
      <c r="K57" s="146"/>
      <c r="L57" s="91"/>
      <c r="O57" s="6"/>
    </row>
    <row r="58" spans="1:18">
      <c r="A58" s="106"/>
      <c r="B58" s="8" t="str">
        <f t="shared" si="0"/>
        <v>1403</v>
      </c>
      <c r="C58" s="9">
        <v>30</v>
      </c>
      <c r="D58" s="10">
        <v>31</v>
      </c>
      <c r="E58" s="10">
        <v>32</v>
      </c>
      <c r="F58" s="10">
        <v>33</v>
      </c>
      <c r="G58" s="147"/>
      <c r="H58" s="148"/>
      <c r="I58" s="148"/>
      <c r="J58" s="148"/>
      <c r="K58" s="149"/>
      <c r="L58" s="91"/>
      <c r="O58" s="6"/>
    </row>
    <row r="59" spans="1:18">
      <c r="A59" s="99"/>
      <c r="B59" s="8" t="str">
        <f t="shared" si="0"/>
        <v>1404</v>
      </c>
      <c r="C59" s="10">
        <v>34</v>
      </c>
      <c r="D59" s="10">
        <v>35</v>
      </c>
      <c r="E59" s="10">
        <v>36</v>
      </c>
      <c r="F59" s="10">
        <v>37</v>
      </c>
      <c r="G59" s="150"/>
      <c r="H59" s="151"/>
      <c r="I59" s="151"/>
      <c r="J59" s="151"/>
      <c r="K59" s="152"/>
      <c r="L59" s="91"/>
      <c r="O59" s="6"/>
    </row>
    <row r="60" spans="1:18">
      <c r="A60" s="98">
        <v>15</v>
      </c>
      <c r="B60" s="8" t="str">
        <f t="shared" si="0"/>
        <v>1501</v>
      </c>
      <c r="C60" s="9">
        <v>43</v>
      </c>
      <c r="D60" s="9">
        <v>44</v>
      </c>
      <c r="E60" s="9">
        <v>45</v>
      </c>
      <c r="F60" s="9">
        <v>46</v>
      </c>
      <c r="G60" s="9">
        <v>59</v>
      </c>
      <c r="H60" s="9">
        <v>60</v>
      </c>
      <c r="I60" s="9">
        <v>61</v>
      </c>
      <c r="J60" s="9">
        <v>62</v>
      </c>
      <c r="K60" s="9">
        <v>63</v>
      </c>
      <c r="L60" s="91"/>
      <c r="O60" s="6"/>
    </row>
    <row r="61" spans="1:18">
      <c r="A61" s="106"/>
      <c r="B61" s="8" t="str">
        <f t="shared" si="0"/>
        <v>1502</v>
      </c>
      <c r="C61" s="11">
        <v>47</v>
      </c>
      <c r="D61" s="11">
        <v>48</v>
      </c>
      <c r="E61" s="9">
        <v>49</v>
      </c>
      <c r="F61" s="9">
        <v>50</v>
      </c>
      <c r="G61" s="144"/>
      <c r="H61" s="145"/>
      <c r="I61" s="145"/>
      <c r="J61" s="145"/>
      <c r="K61" s="146"/>
      <c r="L61" s="91"/>
      <c r="O61" s="6"/>
    </row>
    <row r="62" spans="1:18">
      <c r="A62" s="106"/>
      <c r="B62" s="8" t="str">
        <f t="shared" si="0"/>
        <v>1503</v>
      </c>
      <c r="C62" s="9">
        <v>51</v>
      </c>
      <c r="D62" s="9">
        <v>52</v>
      </c>
      <c r="E62" s="11">
        <v>53</v>
      </c>
      <c r="F62" s="9">
        <v>54</v>
      </c>
      <c r="G62" s="147"/>
      <c r="H62" s="148"/>
      <c r="I62" s="148"/>
      <c r="J62" s="148"/>
      <c r="K62" s="149"/>
      <c r="L62" s="91"/>
      <c r="O62" s="6"/>
    </row>
    <row r="63" spans="1:18">
      <c r="A63" s="99"/>
      <c r="B63" s="8" t="str">
        <f t="shared" si="0"/>
        <v>1504</v>
      </c>
      <c r="C63" s="9">
        <v>55</v>
      </c>
      <c r="D63" s="9">
        <v>56</v>
      </c>
      <c r="E63" s="9">
        <v>57</v>
      </c>
      <c r="F63" s="9">
        <v>58</v>
      </c>
      <c r="G63" s="150"/>
      <c r="H63" s="151"/>
      <c r="I63" s="151"/>
      <c r="J63" s="151"/>
      <c r="K63" s="152"/>
      <c r="L63" s="91"/>
      <c r="O63" s="6"/>
    </row>
    <row r="64" spans="1:18">
      <c r="A64" s="98">
        <v>16</v>
      </c>
      <c r="B64" s="8" t="str">
        <f t="shared" si="0"/>
        <v>1601</v>
      </c>
      <c r="C64" s="9">
        <v>1</v>
      </c>
      <c r="D64" s="9">
        <v>2</v>
      </c>
      <c r="E64" s="9">
        <v>3</v>
      </c>
      <c r="F64" s="9">
        <v>4</v>
      </c>
      <c r="G64" s="9">
        <v>17</v>
      </c>
      <c r="H64" s="9">
        <v>18</v>
      </c>
      <c r="I64" s="9">
        <v>19</v>
      </c>
      <c r="J64" s="9">
        <v>20</v>
      </c>
      <c r="K64" s="9">
        <v>21</v>
      </c>
      <c r="L64" s="91" t="s">
        <v>20</v>
      </c>
      <c r="O64" s="6"/>
    </row>
    <row r="65" spans="1:15">
      <c r="A65" s="106"/>
      <c r="B65" s="8" t="str">
        <f t="shared" si="0"/>
        <v>1602</v>
      </c>
      <c r="C65" s="9">
        <v>5</v>
      </c>
      <c r="D65" s="10">
        <v>6</v>
      </c>
      <c r="E65" s="10">
        <v>7</v>
      </c>
      <c r="F65" s="9">
        <v>8</v>
      </c>
      <c r="G65" s="144"/>
      <c r="H65" s="145"/>
      <c r="I65" s="145"/>
      <c r="J65" s="145"/>
      <c r="K65" s="146"/>
      <c r="L65" s="91"/>
      <c r="O65" s="6"/>
    </row>
    <row r="66" spans="1:15">
      <c r="A66" s="106"/>
      <c r="B66" s="8" t="str">
        <f t="shared" si="0"/>
        <v>1603</v>
      </c>
      <c r="C66" s="9">
        <v>9</v>
      </c>
      <c r="D66" s="9">
        <v>10</v>
      </c>
      <c r="E66" s="9">
        <v>11</v>
      </c>
      <c r="F66" s="9">
        <v>12</v>
      </c>
      <c r="G66" s="147"/>
      <c r="H66" s="148"/>
      <c r="I66" s="148"/>
      <c r="J66" s="148"/>
      <c r="K66" s="149"/>
      <c r="L66" s="91"/>
      <c r="O66" s="6"/>
    </row>
    <row r="67" spans="1:15">
      <c r="A67" s="99"/>
      <c r="B67" s="8" t="str">
        <f t="shared" si="0"/>
        <v>1604</v>
      </c>
      <c r="C67" s="9">
        <v>13</v>
      </c>
      <c r="D67" s="9">
        <v>14</v>
      </c>
      <c r="E67" s="9">
        <v>15</v>
      </c>
      <c r="F67" s="9">
        <v>16</v>
      </c>
      <c r="G67" s="150"/>
      <c r="H67" s="151"/>
      <c r="I67" s="151"/>
      <c r="J67" s="151"/>
      <c r="K67" s="152"/>
      <c r="L67" s="91"/>
      <c r="O67" s="6"/>
    </row>
    <row r="68" spans="1:15">
      <c r="A68" s="98">
        <v>17</v>
      </c>
      <c r="B68" s="8" t="str">
        <f t="shared" si="0"/>
        <v>1701</v>
      </c>
      <c r="C68" s="9">
        <v>22</v>
      </c>
      <c r="D68" s="9">
        <v>23</v>
      </c>
      <c r="E68" s="9">
        <v>24</v>
      </c>
      <c r="F68" s="9">
        <v>25</v>
      </c>
      <c r="G68" s="9">
        <v>38</v>
      </c>
      <c r="H68" s="9">
        <v>39</v>
      </c>
      <c r="I68" s="9">
        <v>40</v>
      </c>
      <c r="J68" s="9">
        <v>41</v>
      </c>
      <c r="K68" s="9">
        <v>42</v>
      </c>
      <c r="L68" s="91"/>
      <c r="O68" s="6"/>
    </row>
    <row r="69" spans="1:15">
      <c r="A69" s="106"/>
      <c r="B69" s="8" t="str">
        <f t="shared" ref="B69:B103" si="1">INT((ROW()-4)/4)+1 &amp; TEXT(MOD(ROW()-4,4)+1,"00")</f>
        <v>1702</v>
      </c>
      <c r="C69" s="9">
        <v>26</v>
      </c>
      <c r="D69" s="9">
        <v>27</v>
      </c>
      <c r="E69" s="9">
        <v>28</v>
      </c>
      <c r="F69" s="9">
        <v>29</v>
      </c>
      <c r="G69" s="144"/>
      <c r="H69" s="145"/>
      <c r="I69" s="145"/>
      <c r="J69" s="145"/>
      <c r="K69" s="146"/>
      <c r="L69" s="91"/>
      <c r="O69" s="6"/>
    </row>
    <row r="70" spans="1:15">
      <c r="A70" s="106"/>
      <c r="B70" s="8" t="str">
        <f t="shared" si="1"/>
        <v>1703</v>
      </c>
      <c r="C70" s="9">
        <v>30</v>
      </c>
      <c r="D70" s="9">
        <v>31</v>
      </c>
      <c r="E70" s="11">
        <v>32</v>
      </c>
      <c r="F70" s="9">
        <v>33</v>
      </c>
      <c r="G70" s="147"/>
      <c r="H70" s="148"/>
      <c r="I70" s="148"/>
      <c r="J70" s="148"/>
      <c r="K70" s="149"/>
      <c r="L70" s="91"/>
      <c r="O70" s="6"/>
    </row>
    <row r="71" spans="1:15">
      <c r="A71" s="99"/>
      <c r="B71" s="8" t="str">
        <f t="shared" si="1"/>
        <v>1704</v>
      </c>
      <c r="C71" s="9">
        <v>34</v>
      </c>
      <c r="D71" s="9">
        <v>35</v>
      </c>
      <c r="E71" s="9">
        <v>36</v>
      </c>
      <c r="F71" s="9">
        <v>37</v>
      </c>
      <c r="G71" s="150"/>
      <c r="H71" s="151"/>
      <c r="I71" s="151"/>
      <c r="J71" s="151"/>
      <c r="K71" s="152"/>
      <c r="L71" s="91"/>
      <c r="O71" s="6"/>
    </row>
    <row r="72" spans="1:15">
      <c r="A72" s="98">
        <v>18</v>
      </c>
      <c r="B72" s="8" t="str">
        <f t="shared" si="1"/>
        <v>1801</v>
      </c>
      <c r="C72" s="9">
        <v>43</v>
      </c>
      <c r="D72" s="10">
        <v>44</v>
      </c>
      <c r="E72" s="9">
        <v>45</v>
      </c>
      <c r="F72" s="9">
        <v>46</v>
      </c>
      <c r="G72" s="9">
        <v>59</v>
      </c>
      <c r="H72" s="9">
        <v>60</v>
      </c>
      <c r="I72" s="9">
        <v>61</v>
      </c>
      <c r="J72" s="9">
        <v>62</v>
      </c>
      <c r="K72" s="9">
        <v>63</v>
      </c>
      <c r="L72" s="91"/>
      <c r="O72" s="6"/>
    </row>
    <row r="73" spans="1:15">
      <c r="A73" s="106"/>
      <c r="B73" s="8" t="str">
        <f t="shared" si="1"/>
        <v>1802</v>
      </c>
      <c r="C73" s="9">
        <v>47</v>
      </c>
      <c r="D73" s="9">
        <v>48</v>
      </c>
      <c r="E73" s="9">
        <v>49</v>
      </c>
      <c r="F73" s="9">
        <v>50</v>
      </c>
      <c r="G73" s="144"/>
      <c r="H73" s="145"/>
      <c r="I73" s="145"/>
      <c r="J73" s="145"/>
      <c r="K73" s="146"/>
      <c r="L73" s="91"/>
      <c r="O73" s="6"/>
    </row>
    <row r="74" spans="1:15">
      <c r="A74" s="106"/>
      <c r="B74" s="8" t="str">
        <f t="shared" si="1"/>
        <v>1803</v>
      </c>
      <c r="C74" s="9">
        <v>51</v>
      </c>
      <c r="D74" s="9">
        <v>52</v>
      </c>
      <c r="E74" s="9">
        <v>53</v>
      </c>
      <c r="F74" s="9">
        <v>54</v>
      </c>
      <c r="G74" s="147"/>
      <c r="H74" s="148"/>
      <c r="I74" s="148"/>
      <c r="J74" s="148"/>
      <c r="K74" s="149"/>
      <c r="L74" s="91"/>
      <c r="O74" s="6"/>
    </row>
    <row r="75" spans="1:15">
      <c r="A75" s="99"/>
      <c r="B75" s="8" t="str">
        <f t="shared" si="1"/>
        <v>1804</v>
      </c>
      <c r="C75" s="9">
        <v>55</v>
      </c>
      <c r="D75" s="9">
        <v>56</v>
      </c>
      <c r="E75" s="9">
        <v>57</v>
      </c>
      <c r="F75" s="9">
        <v>58</v>
      </c>
      <c r="G75" s="150"/>
      <c r="H75" s="151"/>
      <c r="I75" s="151"/>
      <c r="J75" s="151"/>
      <c r="K75" s="152"/>
      <c r="L75" s="91"/>
      <c r="O75" s="6"/>
    </row>
    <row r="76" spans="1:15">
      <c r="A76" s="98">
        <v>19</v>
      </c>
      <c r="B76" s="8" t="str">
        <f t="shared" si="1"/>
        <v>1901</v>
      </c>
      <c r="C76" s="9">
        <v>1</v>
      </c>
      <c r="D76" s="9">
        <v>2</v>
      </c>
      <c r="E76" s="9">
        <v>3</v>
      </c>
      <c r="F76" s="9">
        <v>4</v>
      </c>
      <c r="G76" s="9">
        <v>17</v>
      </c>
      <c r="H76" s="9">
        <v>18</v>
      </c>
      <c r="I76" s="9">
        <v>19</v>
      </c>
      <c r="J76" s="11">
        <v>20</v>
      </c>
      <c r="K76" s="9">
        <v>21</v>
      </c>
      <c r="L76" s="91" t="s">
        <v>21</v>
      </c>
      <c r="O76" s="6"/>
    </row>
    <row r="77" spans="1:15">
      <c r="A77" s="106"/>
      <c r="B77" s="8" t="str">
        <f t="shared" si="1"/>
        <v>1902</v>
      </c>
      <c r="C77" s="10">
        <v>5</v>
      </c>
      <c r="D77" s="9">
        <v>6</v>
      </c>
      <c r="E77" s="9">
        <v>7</v>
      </c>
      <c r="F77" s="9">
        <v>8</v>
      </c>
      <c r="G77" s="144"/>
      <c r="H77" s="145"/>
      <c r="I77" s="145"/>
      <c r="J77" s="145"/>
      <c r="K77" s="146"/>
      <c r="L77" s="91"/>
      <c r="O77" s="6"/>
    </row>
    <row r="78" spans="1:15">
      <c r="A78" s="106"/>
      <c r="B78" s="8" t="str">
        <f t="shared" si="1"/>
        <v>1903</v>
      </c>
      <c r="C78" s="9">
        <v>9</v>
      </c>
      <c r="D78" s="9">
        <v>10</v>
      </c>
      <c r="E78" s="9">
        <v>11</v>
      </c>
      <c r="F78" s="9">
        <v>12</v>
      </c>
      <c r="G78" s="147"/>
      <c r="H78" s="148"/>
      <c r="I78" s="148"/>
      <c r="J78" s="148"/>
      <c r="K78" s="149"/>
      <c r="L78" s="91"/>
      <c r="O78" s="6"/>
    </row>
    <row r="79" spans="1:15">
      <c r="A79" s="99"/>
      <c r="B79" s="8" t="str">
        <f t="shared" si="1"/>
        <v>1904</v>
      </c>
      <c r="C79" s="11">
        <v>13</v>
      </c>
      <c r="D79" s="9">
        <v>14</v>
      </c>
      <c r="E79" s="9">
        <v>15</v>
      </c>
      <c r="F79" s="9">
        <v>16</v>
      </c>
      <c r="G79" s="150"/>
      <c r="H79" s="151"/>
      <c r="I79" s="151"/>
      <c r="J79" s="151"/>
      <c r="K79" s="152"/>
      <c r="L79" s="91"/>
      <c r="O79" s="6"/>
    </row>
    <row r="80" spans="1:15">
      <c r="A80" s="98">
        <v>20</v>
      </c>
      <c r="B80" s="8" t="str">
        <f t="shared" si="1"/>
        <v>2001</v>
      </c>
      <c r="C80" s="9">
        <v>22</v>
      </c>
      <c r="D80" s="9">
        <v>23</v>
      </c>
      <c r="E80" s="9">
        <v>24</v>
      </c>
      <c r="F80" s="9">
        <v>25</v>
      </c>
      <c r="G80" s="9">
        <v>38</v>
      </c>
      <c r="H80" s="9">
        <v>39</v>
      </c>
      <c r="I80" s="9">
        <v>40</v>
      </c>
      <c r="J80" s="9">
        <v>41</v>
      </c>
      <c r="K80" s="9">
        <v>42</v>
      </c>
      <c r="L80" s="91"/>
      <c r="O80" s="6"/>
    </row>
    <row r="81" spans="1:19">
      <c r="A81" s="106"/>
      <c r="B81" s="8" t="str">
        <f t="shared" si="1"/>
        <v>2002</v>
      </c>
      <c r="C81" s="9">
        <v>26</v>
      </c>
      <c r="D81" s="10">
        <v>27</v>
      </c>
      <c r="E81" s="9">
        <v>28</v>
      </c>
      <c r="F81" s="9">
        <v>29</v>
      </c>
      <c r="G81" s="144"/>
      <c r="H81" s="145"/>
      <c r="I81" s="145"/>
      <c r="J81" s="145"/>
      <c r="K81" s="146"/>
      <c r="L81" s="91"/>
      <c r="O81" s="6"/>
    </row>
    <row r="82" spans="1:19">
      <c r="A82" s="106"/>
      <c r="B82" s="8" t="str">
        <f t="shared" si="1"/>
        <v>2003</v>
      </c>
      <c r="C82" s="9">
        <v>30</v>
      </c>
      <c r="D82" s="9">
        <v>31</v>
      </c>
      <c r="E82" s="9">
        <v>32</v>
      </c>
      <c r="F82" s="9">
        <v>33</v>
      </c>
      <c r="G82" s="147"/>
      <c r="H82" s="148"/>
      <c r="I82" s="148"/>
      <c r="J82" s="148"/>
      <c r="K82" s="149"/>
      <c r="L82" s="91"/>
      <c r="O82" s="6"/>
    </row>
    <row r="83" spans="1:19">
      <c r="A83" s="99"/>
      <c r="B83" s="8" t="str">
        <f t="shared" si="1"/>
        <v>2004</v>
      </c>
      <c r="C83" s="9">
        <v>34</v>
      </c>
      <c r="D83" s="9">
        <v>35</v>
      </c>
      <c r="E83" s="9">
        <v>36</v>
      </c>
      <c r="F83" s="9">
        <v>37</v>
      </c>
      <c r="G83" s="150"/>
      <c r="H83" s="151"/>
      <c r="I83" s="151"/>
      <c r="J83" s="151"/>
      <c r="K83" s="152"/>
      <c r="L83" s="91"/>
      <c r="O83" s="6"/>
    </row>
    <row r="84" spans="1:19">
      <c r="A84" s="98">
        <v>21</v>
      </c>
      <c r="B84" s="8" t="str">
        <f t="shared" si="1"/>
        <v>2101</v>
      </c>
      <c r="C84" s="9">
        <v>43</v>
      </c>
      <c r="D84" s="9">
        <v>44</v>
      </c>
      <c r="E84" s="9">
        <v>45</v>
      </c>
      <c r="F84" s="9">
        <v>46</v>
      </c>
      <c r="G84" s="9">
        <v>59</v>
      </c>
      <c r="H84" s="9">
        <v>60</v>
      </c>
      <c r="I84" s="9">
        <v>61</v>
      </c>
      <c r="J84" s="9">
        <v>62</v>
      </c>
      <c r="K84" s="9">
        <v>63</v>
      </c>
      <c r="L84" s="91"/>
      <c r="O84" s="6"/>
    </row>
    <row r="85" spans="1:19">
      <c r="A85" s="106"/>
      <c r="B85" s="8" t="str">
        <f t="shared" si="1"/>
        <v>2102</v>
      </c>
      <c r="C85" s="9">
        <v>47</v>
      </c>
      <c r="D85" s="9">
        <v>48</v>
      </c>
      <c r="E85" s="9">
        <v>49</v>
      </c>
      <c r="F85" s="9">
        <v>50</v>
      </c>
      <c r="G85" s="144"/>
      <c r="H85" s="145"/>
      <c r="I85" s="145"/>
      <c r="J85" s="145"/>
      <c r="K85" s="146"/>
      <c r="L85" s="91"/>
      <c r="O85" s="6"/>
    </row>
    <row r="86" spans="1:19">
      <c r="A86" s="106"/>
      <c r="B86" s="8" t="str">
        <f t="shared" si="1"/>
        <v>2103</v>
      </c>
      <c r="C86" s="9">
        <v>51</v>
      </c>
      <c r="D86" s="9">
        <v>52</v>
      </c>
      <c r="E86" s="9">
        <v>53</v>
      </c>
      <c r="F86" s="9">
        <v>54</v>
      </c>
      <c r="G86" s="147"/>
      <c r="H86" s="148"/>
      <c r="I86" s="148"/>
      <c r="J86" s="148"/>
      <c r="K86" s="149"/>
      <c r="L86" s="91"/>
    </row>
    <row r="87" spans="1:19">
      <c r="A87" s="99"/>
      <c r="B87" s="8" t="str">
        <f t="shared" si="1"/>
        <v>2104</v>
      </c>
      <c r="C87" s="9">
        <v>55</v>
      </c>
      <c r="D87" s="9">
        <v>56</v>
      </c>
      <c r="E87" s="9">
        <v>57</v>
      </c>
      <c r="F87" s="9">
        <v>58</v>
      </c>
      <c r="G87" s="150"/>
      <c r="H87" s="151"/>
      <c r="I87" s="151"/>
      <c r="J87" s="151"/>
      <c r="K87" s="152"/>
      <c r="L87" s="91"/>
    </row>
    <row r="88" spans="1:19">
      <c r="A88" s="98">
        <v>22</v>
      </c>
      <c r="B88" s="8" t="str">
        <f t="shared" si="1"/>
        <v>2201</v>
      </c>
      <c r="C88" s="9">
        <v>64</v>
      </c>
      <c r="D88" s="9">
        <v>65</v>
      </c>
      <c r="E88" s="9">
        <v>66</v>
      </c>
      <c r="F88" s="9">
        <v>67</v>
      </c>
      <c r="G88" s="9">
        <v>80</v>
      </c>
      <c r="H88" s="9">
        <v>81</v>
      </c>
      <c r="I88" s="9">
        <v>82</v>
      </c>
      <c r="J88" s="11">
        <v>83</v>
      </c>
      <c r="K88" s="9">
        <v>84</v>
      </c>
      <c r="L88" s="91"/>
      <c r="N88" s="6"/>
    </row>
    <row r="89" spans="1:19">
      <c r="A89" s="106"/>
      <c r="B89" s="8" t="str">
        <f t="shared" si="1"/>
        <v>2202</v>
      </c>
      <c r="C89" s="9">
        <v>68</v>
      </c>
      <c r="D89" s="9">
        <v>69</v>
      </c>
      <c r="E89" s="9">
        <v>70</v>
      </c>
      <c r="F89" s="9">
        <v>71</v>
      </c>
      <c r="G89" s="144"/>
      <c r="H89" s="145"/>
      <c r="I89" s="145"/>
      <c r="J89" s="145"/>
      <c r="K89" s="146"/>
      <c r="L89" s="91"/>
      <c r="N89" s="6"/>
    </row>
    <row r="90" spans="1:19">
      <c r="A90" s="106"/>
      <c r="B90" s="8" t="str">
        <f t="shared" si="1"/>
        <v>2203</v>
      </c>
      <c r="C90" s="9">
        <v>72</v>
      </c>
      <c r="D90" s="9">
        <v>73</v>
      </c>
      <c r="E90" s="9">
        <v>74</v>
      </c>
      <c r="F90" s="11">
        <v>75</v>
      </c>
      <c r="G90" s="147"/>
      <c r="H90" s="148"/>
      <c r="I90" s="148"/>
      <c r="J90" s="148"/>
      <c r="K90" s="149"/>
      <c r="L90" s="91"/>
      <c r="N90" s="6"/>
    </row>
    <row r="91" spans="1:19">
      <c r="A91" s="99"/>
      <c r="B91" s="8" t="str">
        <f t="shared" si="1"/>
        <v>2204</v>
      </c>
      <c r="C91" s="9">
        <v>76</v>
      </c>
      <c r="D91" s="9">
        <v>77</v>
      </c>
      <c r="E91" s="11">
        <v>78</v>
      </c>
      <c r="F91" s="9">
        <v>79</v>
      </c>
      <c r="G91" s="150"/>
      <c r="H91" s="151"/>
      <c r="I91" s="151"/>
      <c r="J91" s="151"/>
      <c r="K91" s="152"/>
      <c r="L91" s="91"/>
      <c r="N91" s="6"/>
    </row>
    <row r="92" spans="1:19">
      <c r="A92" s="98">
        <v>23</v>
      </c>
      <c r="B92" s="8" t="str">
        <f t="shared" si="1"/>
        <v>2301</v>
      </c>
      <c r="C92" s="9">
        <v>1</v>
      </c>
      <c r="D92" s="9">
        <v>2</v>
      </c>
      <c r="E92" s="9">
        <v>3</v>
      </c>
      <c r="F92" s="9">
        <v>4</v>
      </c>
      <c r="G92" s="9">
        <v>17</v>
      </c>
      <c r="H92" s="9">
        <v>18</v>
      </c>
      <c r="I92" s="9">
        <v>19</v>
      </c>
      <c r="J92" s="9">
        <v>20</v>
      </c>
      <c r="K92" s="20">
        <v>21</v>
      </c>
      <c r="L92" s="91" t="s">
        <v>22</v>
      </c>
      <c r="N92" s="6"/>
      <c r="S92" s="18"/>
    </row>
    <row r="93" spans="1:19">
      <c r="A93" s="106"/>
      <c r="B93" s="8" t="str">
        <f t="shared" si="1"/>
        <v>2302</v>
      </c>
      <c r="C93" s="9">
        <v>5</v>
      </c>
      <c r="D93" s="9">
        <v>6</v>
      </c>
      <c r="E93" s="9">
        <v>7</v>
      </c>
      <c r="F93" s="9">
        <v>8</v>
      </c>
      <c r="G93" s="144"/>
      <c r="H93" s="145"/>
      <c r="I93" s="145"/>
      <c r="J93" s="145"/>
      <c r="K93" s="145"/>
      <c r="L93" s="91"/>
      <c r="N93" s="6"/>
    </row>
    <row r="94" spans="1:19">
      <c r="A94" s="106"/>
      <c r="B94" s="8" t="str">
        <f t="shared" si="1"/>
        <v>2303</v>
      </c>
      <c r="C94" s="9">
        <v>9</v>
      </c>
      <c r="D94" s="9">
        <v>10</v>
      </c>
      <c r="E94" s="9">
        <v>11</v>
      </c>
      <c r="F94" s="9">
        <v>12</v>
      </c>
      <c r="G94" s="147"/>
      <c r="H94" s="148"/>
      <c r="I94" s="148"/>
      <c r="J94" s="148"/>
      <c r="K94" s="148"/>
      <c r="L94" s="91"/>
      <c r="N94" s="6"/>
    </row>
    <row r="95" spans="1:19">
      <c r="A95" s="99"/>
      <c r="B95" s="8" t="str">
        <f t="shared" si="1"/>
        <v>2304</v>
      </c>
      <c r="C95" s="9">
        <v>13</v>
      </c>
      <c r="D95" s="9">
        <v>14</v>
      </c>
      <c r="E95" s="10">
        <v>15</v>
      </c>
      <c r="F95" s="9">
        <v>16</v>
      </c>
      <c r="G95" s="150"/>
      <c r="H95" s="151"/>
      <c r="I95" s="151"/>
      <c r="J95" s="151"/>
      <c r="K95" s="151"/>
      <c r="L95" s="91"/>
      <c r="N95" s="6"/>
    </row>
    <row r="96" spans="1:19">
      <c r="A96" s="98">
        <v>24</v>
      </c>
      <c r="B96" s="8" t="str">
        <f t="shared" si="1"/>
        <v>2401</v>
      </c>
      <c r="C96" s="9">
        <v>22</v>
      </c>
      <c r="D96" s="9">
        <v>23</v>
      </c>
      <c r="E96" s="9">
        <v>24</v>
      </c>
      <c r="F96" s="11">
        <v>25</v>
      </c>
      <c r="G96" s="9">
        <v>38</v>
      </c>
      <c r="H96" s="9">
        <v>39</v>
      </c>
      <c r="I96" s="9">
        <v>40</v>
      </c>
      <c r="J96" s="9">
        <v>41</v>
      </c>
      <c r="K96" s="20">
        <v>42</v>
      </c>
      <c r="L96" s="91"/>
      <c r="N96" s="6"/>
    </row>
    <row r="97" spans="1:15">
      <c r="A97" s="106"/>
      <c r="B97" s="8" t="str">
        <f t="shared" si="1"/>
        <v>2402</v>
      </c>
      <c r="C97" s="9">
        <v>26</v>
      </c>
      <c r="D97" s="9">
        <v>27</v>
      </c>
      <c r="E97" s="9">
        <v>28</v>
      </c>
      <c r="F97" s="9">
        <v>29</v>
      </c>
      <c r="G97" s="144"/>
      <c r="H97" s="145"/>
      <c r="I97" s="145"/>
      <c r="J97" s="145"/>
      <c r="K97" s="145"/>
      <c r="L97" s="91"/>
      <c r="N97" s="6"/>
    </row>
    <row r="98" spans="1:15">
      <c r="A98" s="106"/>
      <c r="B98" s="8" t="str">
        <f t="shared" si="1"/>
        <v>2403</v>
      </c>
      <c r="C98" s="9">
        <v>30</v>
      </c>
      <c r="D98" s="9">
        <v>31</v>
      </c>
      <c r="E98" s="9">
        <v>32</v>
      </c>
      <c r="F98" s="9">
        <v>33</v>
      </c>
      <c r="G98" s="147"/>
      <c r="H98" s="148"/>
      <c r="I98" s="148"/>
      <c r="J98" s="148"/>
      <c r="K98" s="148"/>
      <c r="L98" s="91"/>
      <c r="N98" s="6"/>
      <c r="O98" s="6"/>
    </row>
    <row r="99" spans="1:15">
      <c r="A99" s="99"/>
      <c r="B99" s="8" t="str">
        <f t="shared" si="1"/>
        <v>2404</v>
      </c>
      <c r="C99" s="9">
        <v>34</v>
      </c>
      <c r="D99" s="9">
        <v>35</v>
      </c>
      <c r="E99" s="9">
        <v>36</v>
      </c>
      <c r="F99" s="9">
        <v>37</v>
      </c>
      <c r="G99" s="150"/>
      <c r="H99" s="151"/>
      <c r="I99" s="151"/>
      <c r="J99" s="151"/>
      <c r="K99" s="151"/>
      <c r="L99" s="91"/>
      <c r="N99" s="6"/>
      <c r="O99" s="6"/>
    </row>
    <row r="100" spans="1:15">
      <c r="A100" s="98">
        <v>25</v>
      </c>
      <c r="B100" s="8" t="str">
        <f t="shared" si="1"/>
        <v>2501</v>
      </c>
      <c r="C100" s="9">
        <v>43</v>
      </c>
      <c r="D100" s="9">
        <v>44</v>
      </c>
      <c r="E100" s="9">
        <v>45</v>
      </c>
      <c r="F100" s="9">
        <v>46</v>
      </c>
      <c r="G100" s="9">
        <v>59</v>
      </c>
      <c r="H100" s="9">
        <v>60</v>
      </c>
      <c r="I100" s="9">
        <v>61</v>
      </c>
      <c r="J100" s="9">
        <v>62</v>
      </c>
      <c r="K100" s="20">
        <v>63</v>
      </c>
      <c r="L100" s="91"/>
      <c r="O100" s="6"/>
    </row>
    <row r="101" spans="1:15">
      <c r="A101" s="106"/>
      <c r="B101" s="8" t="str">
        <f t="shared" si="1"/>
        <v>2502</v>
      </c>
      <c r="C101" s="9">
        <v>47</v>
      </c>
      <c r="D101" s="9">
        <v>48</v>
      </c>
      <c r="E101" s="9">
        <v>49</v>
      </c>
      <c r="F101" s="9">
        <v>50</v>
      </c>
      <c r="G101" s="144"/>
      <c r="H101" s="145"/>
      <c r="I101" s="145"/>
      <c r="J101" s="145"/>
      <c r="K101" s="145"/>
      <c r="L101" s="91"/>
      <c r="O101" s="6"/>
    </row>
    <row r="102" spans="1:15">
      <c r="A102" s="106"/>
      <c r="B102" s="8" t="str">
        <f t="shared" si="1"/>
        <v>2503</v>
      </c>
      <c r="C102" s="9">
        <v>51</v>
      </c>
      <c r="D102" s="9">
        <v>52</v>
      </c>
      <c r="E102" s="9">
        <v>53</v>
      </c>
      <c r="F102" s="9">
        <v>54</v>
      </c>
      <c r="G102" s="147"/>
      <c r="H102" s="148"/>
      <c r="I102" s="148"/>
      <c r="J102" s="148"/>
      <c r="K102" s="148"/>
      <c r="L102" s="91"/>
      <c r="O102" s="6"/>
    </row>
    <row r="103" spans="1:15">
      <c r="A103" s="99"/>
      <c r="B103" s="8" t="str">
        <f t="shared" si="1"/>
        <v>2504</v>
      </c>
      <c r="C103" s="9">
        <v>55</v>
      </c>
      <c r="D103" s="9">
        <v>56</v>
      </c>
      <c r="E103" s="9">
        <v>57</v>
      </c>
      <c r="F103" s="9">
        <v>58</v>
      </c>
      <c r="G103" s="150"/>
      <c r="H103" s="151"/>
      <c r="I103" s="151"/>
      <c r="J103" s="151"/>
      <c r="K103" s="151"/>
      <c r="L103" s="91"/>
      <c r="O103" s="6"/>
    </row>
  </sheetData>
  <mergeCells count="78">
    <mergeCell ref="A92:A95"/>
    <mergeCell ref="L92:L103"/>
    <mergeCell ref="G93:K95"/>
    <mergeCell ref="A96:A99"/>
    <mergeCell ref="G97:K99"/>
    <mergeCell ref="A100:A103"/>
    <mergeCell ref="G101:K103"/>
    <mergeCell ref="A76:A79"/>
    <mergeCell ref="L76:L91"/>
    <mergeCell ref="G77:K79"/>
    <mergeCell ref="A80:A83"/>
    <mergeCell ref="G81:K83"/>
    <mergeCell ref="A84:A87"/>
    <mergeCell ref="G85:K87"/>
    <mergeCell ref="A88:A91"/>
    <mergeCell ref="G89:K91"/>
    <mergeCell ref="A64:A67"/>
    <mergeCell ref="L64:L75"/>
    <mergeCell ref="G65:K67"/>
    <mergeCell ref="A68:A71"/>
    <mergeCell ref="G69:K71"/>
    <mergeCell ref="A72:A75"/>
    <mergeCell ref="G73:K75"/>
    <mergeCell ref="G49:K51"/>
    <mergeCell ref="A52:A55"/>
    <mergeCell ref="L52:L63"/>
    <mergeCell ref="G53:K55"/>
    <mergeCell ref="A56:A59"/>
    <mergeCell ref="G57:K59"/>
    <mergeCell ref="A60:A63"/>
    <mergeCell ref="G61:K63"/>
    <mergeCell ref="A28:A31"/>
    <mergeCell ref="L28:L39"/>
    <mergeCell ref="G29:K31"/>
    <mergeCell ref="S29:S32"/>
    <mergeCell ref="A32:A35"/>
    <mergeCell ref="G33:K35"/>
    <mergeCell ref="S34:S37"/>
    <mergeCell ref="A36:A39"/>
    <mergeCell ref="G37:K39"/>
    <mergeCell ref="S39:S42"/>
    <mergeCell ref="A40:A43"/>
    <mergeCell ref="L40:L51"/>
    <mergeCell ref="G41:K43"/>
    <mergeCell ref="A44:A47"/>
    <mergeCell ref="G45:K47"/>
    <mergeCell ref="A48:A51"/>
    <mergeCell ref="A20:A23"/>
    <mergeCell ref="G21:K23"/>
    <mergeCell ref="A24:A27"/>
    <mergeCell ref="S24:S27"/>
    <mergeCell ref="G25:K27"/>
    <mergeCell ref="O3:P3"/>
    <mergeCell ref="A4:A7"/>
    <mergeCell ref="L4:L15"/>
    <mergeCell ref="N4:N7"/>
    <mergeCell ref="S4:S7"/>
    <mergeCell ref="G5:K7"/>
    <mergeCell ref="A8:A11"/>
    <mergeCell ref="G9:K11"/>
    <mergeCell ref="S9:S12"/>
    <mergeCell ref="A12:A15"/>
    <mergeCell ref="G13:K15"/>
    <mergeCell ref="S14:S17"/>
    <mergeCell ref="A16:A19"/>
    <mergeCell ref="L16:L27"/>
    <mergeCell ref="G17:K19"/>
    <mergeCell ref="S19:S22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</mergeCells>
  <conditionalFormatting sqref="F10">
    <cfRule type="cellIs" dxfId="231" priority="16" operator="equal">
      <formula>"Ногоон"</formula>
    </cfRule>
    <cfRule type="cellIs" dxfId="230" priority="17" operator="equal">
      <formula>"Улаан"</formula>
    </cfRule>
  </conditionalFormatting>
  <conditionalFormatting sqref="C4:K4 C8:K8 C5:G5 C6:F7 C12:K12 C9:G9 C10:F11 C100:K100 C13:G13 C14:F15 C16:K16 C20:K20 C17:G17 C18:F19 C24:K24 C21:G21 C22:F23 C25:G25 C26:F27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 C101:G101 C102:F103">
    <cfRule type="cellIs" dxfId="229" priority="15" operator="equal">
      <formula>"Улаан"</formula>
    </cfRule>
  </conditionalFormatting>
  <conditionalFormatting sqref="F22">
    <cfRule type="cellIs" dxfId="228" priority="13" operator="equal">
      <formula>"Ногоон"</formula>
    </cfRule>
    <cfRule type="cellIs" dxfId="227" priority="14" operator="equal">
      <formula>"Улаан"</formula>
    </cfRule>
  </conditionalFormatting>
  <conditionalFormatting sqref="F34">
    <cfRule type="cellIs" dxfId="226" priority="11" operator="equal">
      <formula>"Ногоон"</formula>
    </cfRule>
    <cfRule type="cellIs" dxfId="225" priority="12" operator="equal">
      <formula>"Улаан"</formula>
    </cfRule>
  </conditionalFormatting>
  <conditionalFormatting sqref="F46">
    <cfRule type="cellIs" dxfId="224" priority="9" operator="equal">
      <formula>"Ногоон"</formula>
    </cfRule>
    <cfRule type="cellIs" dxfId="223" priority="10" operator="equal">
      <formula>"Улаан"</formula>
    </cfRule>
  </conditionalFormatting>
  <conditionalFormatting sqref="F58">
    <cfRule type="cellIs" dxfId="222" priority="7" operator="equal">
      <formula>"Ногоон"</formula>
    </cfRule>
    <cfRule type="cellIs" dxfId="221" priority="8" operator="equal">
      <formula>"Улаан"</formula>
    </cfRule>
  </conditionalFormatting>
  <conditionalFormatting sqref="F70">
    <cfRule type="cellIs" dxfId="220" priority="5" operator="equal">
      <formula>"Ногоон"</formula>
    </cfRule>
    <cfRule type="cellIs" dxfId="219" priority="6" operator="equal">
      <formula>"Улаан"</formula>
    </cfRule>
  </conditionalFormatting>
  <conditionalFormatting sqref="F82">
    <cfRule type="cellIs" dxfId="218" priority="3" operator="equal">
      <formula>"Ногоон"</formula>
    </cfRule>
    <cfRule type="cellIs" dxfId="217" priority="4" operator="equal">
      <formula>"Улаан"</formula>
    </cfRule>
  </conditionalFormatting>
  <conditionalFormatting sqref="F94">
    <cfRule type="cellIs" dxfId="216" priority="1" operator="equal">
      <formula>"Ногоон"</formula>
    </cfRule>
    <cfRule type="cellIs" dxfId="215" priority="2" operator="equal">
      <formula>"Улаан"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147D7-AA00-4E04-B2DC-B60A3154D602}">
  <dimension ref="A1:V112"/>
  <sheetViews>
    <sheetView topLeftCell="J1" workbookViewId="0">
      <selection activeCell="S39" sqref="S39:S42"/>
    </sheetView>
  </sheetViews>
  <sheetFormatPr defaultRowHeight="15"/>
  <cols>
    <col min="14" max="14" width="10.28515625" bestFit="1" customWidth="1"/>
  </cols>
  <sheetData>
    <row r="1" spans="1:22">
      <c r="A1" s="77">
        <v>212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  <c r="V1" s="3"/>
    </row>
    <row r="2" spans="1:22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  <c r="V2" s="2"/>
    </row>
    <row r="3" spans="1:22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  <c r="V3" s="2"/>
    </row>
    <row r="4" spans="1:22">
      <c r="A4" s="98">
        <v>1</v>
      </c>
      <c r="B4" s="8" t="str">
        <f>INT((ROW()-4)/4)+1 &amp; TEXT(MOD(ROW()-4,4)+1,"00")</f>
        <v>101</v>
      </c>
      <c r="C4" s="9">
        <v>1</v>
      </c>
      <c r="D4" s="9">
        <v>2</v>
      </c>
      <c r="E4" s="11">
        <v>3</v>
      </c>
      <c r="F4" s="9">
        <v>4</v>
      </c>
      <c r="G4" s="10">
        <v>17</v>
      </c>
      <c r="H4" s="9">
        <v>18</v>
      </c>
      <c r="I4" s="10">
        <v>19</v>
      </c>
      <c r="J4" s="9">
        <v>20</v>
      </c>
      <c r="K4" s="9">
        <v>21</v>
      </c>
      <c r="L4" s="91" t="s">
        <v>9</v>
      </c>
      <c r="N4" s="92">
        <v>46000</v>
      </c>
      <c r="O4" s="12" t="s">
        <v>10</v>
      </c>
      <c r="P4" s="13">
        <f>SUM(P5:P7)</f>
        <v>525</v>
      </c>
      <c r="Q4" s="73">
        <v>1</v>
      </c>
      <c r="S4" s="92" t="s">
        <v>9</v>
      </c>
      <c r="T4" s="12" t="s">
        <v>10</v>
      </c>
      <c r="U4" s="13">
        <f>SUM(U5:U7)</f>
        <v>63</v>
      </c>
      <c r="V4" s="73">
        <v>1</v>
      </c>
    </row>
    <row r="5" spans="1:22">
      <c r="A5" s="106"/>
      <c r="B5" s="8" t="str">
        <f t="shared" ref="B5:B68" si="0">INT((ROW()-4)/4)+1 &amp; TEXT(MOD(ROW()-4,4)+1,"00")</f>
        <v>102</v>
      </c>
      <c r="C5" s="11">
        <v>5</v>
      </c>
      <c r="D5" s="11">
        <v>6</v>
      </c>
      <c r="E5" s="11">
        <v>7</v>
      </c>
      <c r="F5" s="11">
        <v>8</v>
      </c>
      <c r="G5" s="82"/>
      <c r="H5" s="83"/>
      <c r="I5" s="83"/>
      <c r="J5" s="83"/>
      <c r="K5" s="84"/>
      <c r="L5" s="91"/>
      <c r="N5" s="93"/>
      <c r="O5" s="14" t="s">
        <v>11</v>
      </c>
      <c r="P5" s="13" cm="1">
        <f t="array" ref="P5">CountByColor(C4:K103, O5)</f>
        <v>48</v>
      </c>
      <c r="Q5" s="74">
        <v>9.1399999999999995E-2</v>
      </c>
      <c r="S5" s="93"/>
      <c r="T5" s="14" t="s">
        <v>11</v>
      </c>
      <c r="U5" s="13" cm="1">
        <f t="array" ref="U5">CountByColor(C4:K15, T5)</f>
        <v>9</v>
      </c>
      <c r="V5" s="74">
        <v>0.1429</v>
      </c>
    </row>
    <row r="6" spans="1:22">
      <c r="A6" s="106"/>
      <c r="B6" s="8" t="str">
        <f t="shared" si="0"/>
        <v>103</v>
      </c>
      <c r="C6" s="9">
        <v>9</v>
      </c>
      <c r="D6" s="9">
        <v>10</v>
      </c>
      <c r="E6" s="9">
        <v>11</v>
      </c>
      <c r="F6" s="9">
        <v>12</v>
      </c>
      <c r="G6" s="107"/>
      <c r="H6" s="108"/>
      <c r="I6" s="108"/>
      <c r="J6" s="108"/>
      <c r="K6" s="109"/>
      <c r="L6" s="91"/>
      <c r="N6" s="93"/>
      <c r="O6" s="15" t="s">
        <v>12</v>
      </c>
      <c r="P6" s="13" cm="1">
        <f t="array" ref="P6">CountByColor(C4:K103, O6)</f>
        <v>16</v>
      </c>
      <c r="Q6" s="74">
        <v>3.0499999999999999E-2</v>
      </c>
      <c r="S6" s="93"/>
      <c r="T6" s="15" t="s">
        <v>12</v>
      </c>
      <c r="U6" s="13" cm="1">
        <f t="array" ref="U6">CountByColor(C4:K15, T6)</f>
        <v>4</v>
      </c>
      <c r="V6" s="74">
        <v>6.3500000000000001E-2</v>
      </c>
    </row>
    <row r="7" spans="1:22">
      <c r="A7" s="99"/>
      <c r="B7" s="8" t="str">
        <f t="shared" si="0"/>
        <v>104</v>
      </c>
      <c r="C7" s="9">
        <v>13</v>
      </c>
      <c r="D7" s="9">
        <v>14</v>
      </c>
      <c r="E7" s="9">
        <v>15</v>
      </c>
      <c r="F7" s="9">
        <v>16</v>
      </c>
      <c r="G7" s="85"/>
      <c r="H7" s="86"/>
      <c r="I7" s="86"/>
      <c r="J7" s="86"/>
      <c r="K7" s="87"/>
      <c r="L7" s="91"/>
      <c r="N7" s="94"/>
      <c r="O7" s="16" t="s">
        <v>13</v>
      </c>
      <c r="P7" s="13" cm="1">
        <f t="array" ref="P7">CountByColor(C4:K103, O7)</f>
        <v>461</v>
      </c>
      <c r="Q7" s="74">
        <v>0.87809999999999999</v>
      </c>
      <c r="S7" s="94"/>
      <c r="T7" s="16" t="s">
        <v>13</v>
      </c>
      <c r="U7" s="13" cm="1">
        <f t="array" ref="U7">CountByColor(C4:K15, T7)</f>
        <v>50</v>
      </c>
      <c r="V7" s="74">
        <v>0.79369999999999996</v>
      </c>
    </row>
    <row r="8" spans="1:22">
      <c r="A8" s="98">
        <v>2</v>
      </c>
      <c r="B8" s="8" t="str">
        <f t="shared" si="0"/>
        <v>201</v>
      </c>
      <c r="C8" s="9">
        <v>22</v>
      </c>
      <c r="D8" s="9">
        <v>23</v>
      </c>
      <c r="E8" s="11">
        <v>24</v>
      </c>
      <c r="F8" s="9">
        <v>25</v>
      </c>
      <c r="G8" s="11">
        <v>38</v>
      </c>
      <c r="H8" s="9">
        <v>39</v>
      </c>
      <c r="I8" s="9">
        <v>40</v>
      </c>
      <c r="J8" s="9">
        <v>41</v>
      </c>
      <c r="K8" s="9">
        <v>42</v>
      </c>
      <c r="L8" s="91"/>
      <c r="N8" s="21"/>
      <c r="T8" s="1"/>
      <c r="U8" s="1"/>
    </row>
    <row r="9" spans="1:22">
      <c r="A9" s="106"/>
      <c r="B9" s="8" t="str">
        <f t="shared" si="0"/>
        <v>202</v>
      </c>
      <c r="C9" s="11">
        <v>26</v>
      </c>
      <c r="D9" s="9">
        <v>27</v>
      </c>
      <c r="E9" s="9">
        <v>28</v>
      </c>
      <c r="F9" s="9">
        <v>29</v>
      </c>
      <c r="G9" s="82"/>
      <c r="H9" s="83"/>
      <c r="I9" s="83"/>
      <c r="J9" s="83"/>
      <c r="K9" s="84"/>
      <c r="L9" s="91"/>
      <c r="S9" s="92" t="s">
        <v>14</v>
      </c>
      <c r="T9" s="12" t="s">
        <v>10</v>
      </c>
      <c r="U9" s="13">
        <f>SUM(U10:U12)</f>
        <v>63</v>
      </c>
      <c r="V9" s="73">
        <v>1</v>
      </c>
    </row>
    <row r="10" spans="1:22">
      <c r="A10" s="106"/>
      <c r="B10" s="8" t="str">
        <f t="shared" si="0"/>
        <v>203</v>
      </c>
      <c r="C10" s="9">
        <v>30</v>
      </c>
      <c r="D10" s="9">
        <v>31</v>
      </c>
      <c r="E10" s="9">
        <v>32</v>
      </c>
      <c r="F10" s="9">
        <v>33</v>
      </c>
      <c r="G10" s="107"/>
      <c r="H10" s="108"/>
      <c r="I10" s="108"/>
      <c r="J10" s="108"/>
      <c r="K10" s="109"/>
      <c r="L10" s="91"/>
      <c r="S10" s="93"/>
      <c r="T10" s="14" t="s">
        <v>11</v>
      </c>
      <c r="U10" s="13" cm="1">
        <f t="array" ref="U10">CountByColor(C16:K27, T10)</f>
        <v>7</v>
      </c>
      <c r="V10" s="74">
        <v>0.1111</v>
      </c>
    </row>
    <row r="11" spans="1:22">
      <c r="A11" s="99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85"/>
      <c r="H11" s="86"/>
      <c r="I11" s="86"/>
      <c r="J11" s="86"/>
      <c r="K11" s="87"/>
      <c r="L11" s="91"/>
      <c r="S11" s="93"/>
      <c r="T11" s="15" t="s">
        <v>12</v>
      </c>
      <c r="U11" s="13" cm="1">
        <f t="array" ref="U11">CountByColor(C16:K27, T11)</f>
        <v>0</v>
      </c>
      <c r="V11" s="73">
        <v>0</v>
      </c>
    </row>
    <row r="12" spans="1:22">
      <c r="A12" s="98">
        <v>3</v>
      </c>
      <c r="B12" s="8" t="str">
        <f t="shared" si="0"/>
        <v>301</v>
      </c>
      <c r="C12" s="9">
        <v>43</v>
      </c>
      <c r="D12" s="9">
        <v>44</v>
      </c>
      <c r="E12" s="9">
        <v>45</v>
      </c>
      <c r="F12" s="9">
        <v>46</v>
      </c>
      <c r="G12" s="11">
        <v>59</v>
      </c>
      <c r="H12" s="9">
        <v>60</v>
      </c>
      <c r="I12" s="9">
        <v>61</v>
      </c>
      <c r="J12" s="9">
        <v>62</v>
      </c>
      <c r="K12" s="9">
        <v>63</v>
      </c>
      <c r="L12" s="91"/>
      <c r="S12" s="94"/>
      <c r="T12" s="16" t="s">
        <v>13</v>
      </c>
      <c r="U12" s="13" cm="1">
        <f t="array" ref="U12">CountByColor(C16:K27, T12)</f>
        <v>56</v>
      </c>
      <c r="V12" s="74">
        <v>0.88890000000000002</v>
      </c>
    </row>
    <row r="13" spans="1:22">
      <c r="A13" s="106"/>
      <c r="B13" s="8" t="str">
        <f t="shared" si="0"/>
        <v>302</v>
      </c>
      <c r="C13" s="10">
        <v>47</v>
      </c>
      <c r="D13" s="9">
        <v>48</v>
      </c>
      <c r="E13" s="9">
        <v>49</v>
      </c>
      <c r="F13" s="9">
        <v>50</v>
      </c>
      <c r="G13" s="82"/>
      <c r="H13" s="83"/>
      <c r="I13" s="83"/>
      <c r="J13" s="83"/>
      <c r="K13" s="84"/>
      <c r="L13" s="91"/>
      <c r="S13" s="1"/>
    </row>
    <row r="14" spans="1:22">
      <c r="A14" s="106"/>
      <c r="B14" s="8" t="str">
        <f t="shared" si="0"/>
        <v>303</v>
      </c>
      <c r="C14" s="9">
        <v>51</v>
      </c>
      <c r="D14" s="9">
        <v>52</v>
      </c>
      <c r="E14" s="9">
        <v>53</v>
      </c>
      <c r="F14" s="10">
        <v>54</v>
      </c>
      <c r="G14" s="107"/>
      <c r="H14" s="108"/>
      <c r="I14" s="108"/>
      <c r="J14" s="108"/>
      <c r="K14" s="109"/>
      <c r="L14" s="91"/>
      <c r="S14" s="92" t="s">
        <v>15</v>
      </c>
      <c r="T14" s="12" t="s">
        <v>10</v>
      </c>
      <c r="U14" s="13">
        <f>SUM(U15:U17)</f>
        <v>63</v>
      </c>
      <c r="V14" s="73">
        <v>1</v>
      </c>
    </row>
    <row r="15" spans="1:22">
      <c r="A15" s="99"/>
      <c r="B15" s="8" t="str">
        <f t="shared" si="0"/>
        <v>304</v>
      </c>
      <c r="C15" s="9">
        <v>55</v>
      </c>
      <c r="D15" s="9">
        <v>56</v>
      </c>
      <c r="E15" s="9">
        <v>57</v>
      </c>
      <c r="F15" s="9">
        <v>58</v>
      </c>
      <c r="G15" s="85"/>
      <c r="H15" s="86"/>
      <c r="I15" s="86"/>
      <c r="J15" s="86"/>
      <c r="K15" s="87"/>
      <c r="L15" s="91"/>
      <c r="S15" s="93"/>
      <c r="T15" s="14" t="s">
        <v>11</v>
      </c>
      <c r="U15" s="13" cm="1">
        <f t="array" ref="U15">CountByColor(C28:K39, T15)</f>
        <v>6</v>
      </c>
      <c r="V15" s="74">
        <v>9.5200000000000007E-2</v>
      </c>
    </row>
    <row r="16" spans="1:22">
      <c r="A16" s="98">
        <v>4</v>
      </c>
      <c r="B16" s="8" t="str">
        <f t="shared" si="0"/>
        <v>401</v>
      </c>
      <c r="C16" s="9">
        <v>1</v>
      </c>
      <c r="D16" s="9">
        <v>2</v>
      </c>
      <c r="E16" s="9">
        <v>3</v>
      </c>
      <c r="F16" s="11">
        <v>4</v>
      </c>
      <c r="G16" s="11">
        <v>17</v>
      </c>
      <c r="H16" s="9">
        <v>18</v>
      </c>
      <c r="I16" s="9">
        <v>19</v>
      </c>
      <c r="J16" s="9">
        <v>20</v>
      </c>
      <c r="K16" s="9">
        <v>21</v>
      </c>
      <c r="L16" s="91" t="s">
        <v>14</v>
      </c>
      <c r="S16" s="93"/>
      <c r="T16" s="15" t="s">
        <v>12</v>
      </c>
      <c r="U16" s="13" cm="1">
        <f t="array" ref="U16">CountByColor(C28:K39, T16)</f>
        <v>0</v>
      </c>
      <c r="V16" s="73">
        <v>0</v>
      </c>
    </row>
    <row r="17" spans="1:22">
      <c r="A17" s="106"/>
      <c r="B17" s="8" t="str">
        <f t="shared" si="0"/>
        <v>402</v>
      </c>
      <c r="C17" s="9">
        <v>5</v>
      </c>
      <c r="D17" s="9">
        <v>6</v>
      </c>
      <c r="E17" s="9">
        <v>7</v>
      </c>
      <c r="F17" s="9">
        <v>8</v>
      </c>
      <c r="G17" s="82"/>
      <c r="H17" s="83"/>
      <c r="I17" s="83"/>
      <c r="J17" s="83"/>
      <c r="K17" s="84"/>
      <c r="L17" s="91"/>
      <c r="S17" s="94"/>
      <c r="T17" s="16" t="s">
        <v>13</v>
      </c>
      <c r="U17" s="13" cm="1">
        <f t="array" ref="U17">CountByColor(C28:K39, T17)</f>
        <v>57</v>
      </c>
      <c r="V17" s="74">
        <v>0.90480000000000005</v>
      </c>
    </row>
    <row r="18" spans="1:22">
      <c r="A18" s="106"/>
      <c r="B18" s="8" t="str">
        <f t="shared" si="0"/>
        <v>403</v>
      </c>
      <c r="C18" s="11">
        <v>9</v>
      </c>
      <c r="D18" s="9">
        <v>10</v>
      </c>
      <c r="E18" s="11">
        <v>11</v>
      </c>
      <c r="F18" s="9">
        <v>12</v>
      </c>
      <c r="G18" s="107"/>
      <c r="H18" s="108"/>
      <c r="I18" s="108"/>
      <c r="J18" s="108"/>
      <c r="K18" s="109"/>
      <c r="L18" s="91"/>
      <c r="S18" s="1"/>
    </row>
    <row r="19" spans="1:22">
      <c r="A19" s="99"/>
      <c r="B19" s="8" t="str">
        <f t="shared" si="0"/>
        <v>404</v>
      </c>
      <c r="C19" s="9">
        <v>13</v>
      </c>
      <c r="D19" s="9">
        <v>14</v>
      </c>
      <c r="E19" s="9">
        <v>15</v>
      </c>
      <c r="F19" s="9">
        <v>16</v>
      </c>
      <c r="G19" s="85"/>
      <c r="H19" s="86"/>
      <c r="I19" s="86"/>
      <c r="J19" s="86"/>
      <c r="K19" s="87"/>
      <c r="L19" s="91"/>
      <c r="S19" s="92" t="s">
        <v>16</v>
      </c>
      <c r="T19" s="12" t="s">
        <v>10</v>
      </c>
      <c r="U19" s="13">
        <f>SUM(U20:U22)</f>
        <v>63</v>
      </c>
      <c r="V19" s="73">
        <v>1</v>
      </c>
    </row>
    <row r="20" spans="1:22">
      <c r="A20" s="98">
        <v>5</v>
      </c>
      <c r="B20" s="8" t="str">
        <f t="shared" si="0"/>
        <v>501</v>
      </c>
      <c r="C20" s="9">
        <v>22</v>
      </c>
      <c r="D20" s="9">
        <v>23</v>
      </c>
      <c r="E20" s="9">
        <v>24</v>
      </c>
      <c r="F20" s="9">
        <v>25</v>
      </c>
      <c r="G20" s="9">
        <v>38</v>
      </c>
      <c r="H20" s="9">
        <v>39</v>
      </c>
      <c r="I20" s="9">
        <v>40</v>
      </c>
      <c r="J20" s="9">
        <v>41</v>
      </c>
      <c r="K20" s="9">
        <v>42</v>
      </c>
      <c r="L20" s="91"/>
      <c r="S20" s="93"/>
      <c r="T20" s="14" t="s">
        <v>11</v>
      </c>
      <c r="U20" s="13" cm="1">
        <f t="array" ref="U20">CountByColor(C40:K51, T20)</f>
        <v>5</v>
      </c>
      <c r="V20" s="74">
        <v>7.9399999999999998E-2</v>
      </c>
    </row>
    <row r="21" spans="1:22">
      <c r="A21" s="106"/>
      <c r="B21" s="8" t="str">
        <f t="shared" si="0"/>
        <v>502</v>
      </c>
      <c r="C21" s="9">
        <v>26</v>
      </c>
      <c r="D21" s="9">
        <v>27</v>
      </c>
      <c r="E21" s="9">
        <v>28</v>
      </c>
      <c r="F21" s="9">
        <v>29</v>
      </c>
      <c r="G21" s="82"/>
      <c r="H21" s="83"/>
      <c r="I21" s="83"/>
      <c r="J21" s="83"/>
      <c r="K21" s="84"/>
      <c r="L21" s="91"/>
      <c r="R21" s="1"/>
      <c r="S21" s="93"/>
      <c r="T21" s="15" t="s">
        <v>12</v>
      </c>
      <c r="U21" s="13" cm="1">
        <f t="array" ref="U21">CountByColor(C40:K51, T21)</f>
        <v>2</v>
      </c>
      <c r="V21" s="74">
        <v>3.1699999999999999E-2</v>
      </c>
    </row>
    <row r="22" spans="1:22">
      <c r="A22" s="106"/>
      <c r="B22" s="8" t="str">
        <f t="shared" si="0"/>
        <v>503</v>
      </c>
      <c r="C22" s="9">
        <v>30</v>
      </c>
      <c r="D22" s="9">
        <v>31</v>
      </c>
      <c r="E22" s="11">
        <v>32</v>
      </c>
      <c r="F22" s="9">
        <v>33</v>
      </c>
      <c r="G22" s="107"/>
      <c r="H22" s="108"/>
      <c r="I22" s="108"/>
      <c r="J22" s="108"/>
      <c r="K22" s="109"/>
      <c r="L22" s="91"/>
      <c r="S22" s="94"/>
      <c r="T22" s="16" t="s">
        <v>13</v>
      </c>
      <c r="U22" s="13" cm="1">
        <f t="array" ref="U22">CountByColor(C40:K51, T22)</f>
        <v>56</v>
      </c>
      <c r="V22" s="74">
        <v>0.88890000000000002</v>
      </c>
    </row>
    <row r="23" spans="1:22">
      <c r="A23" s="99"/>
      <c r="B23" s="8" t="str">
        <f t="shared" si="0"/>
        <v>504</v>
      </c>
      <c r="C23" s="9">
        <v>34</v>
      </c>
      <c r="D23" s="9">
        <v>35</v>
      </c>
      <c r="E23" s="9">
        <v>36</v>
      </c>
      <c r="F23" s="9">
        <v>37</v>
      </c>
      <c r="G23" s="85"/>
      <c r="H23" s="86"/>
      <c r="I23" s="86"/>
      <c r="J23" s="86"/>
      <c r="K23" s="87"/>
      <c r="L23" s="91"/>
      <c r="S23" s="1"/>
    </row>
    <row r="24" spans="1:22">
      <c r="A24" s="98">
        <v>6</v>
      </c>
      <c r="B24" s="8" t="str">
        <f t="shared" si="0"/>
        <v>601</v>
      </c>
      <c r="C24" s="9">
        <v>43</v>
      </c>
      <c r="D24" s="9">
        <v>44</v>
      </c>
      <c r="E24" s="9">
        <v>45</v>
      </c>
      <c r="F24" s="11">
        <v>46</v>
      </c>
      <c r="G24" s="9">
        <v>59</v>
      </c>
      <c r="H24" s="9">
        <v>60</v>
      </c>
      <c r="I24" s="9">
        <v>61</v>
      </c>
      <c r="J24" s="9">
        <v>62</v>
      </c>
      <c r="K24" s="9">
        <v>63</v>
      </c>
      <c r="L24" s="91"/>
      <c r="S24" s="92" t="s">
        <v>19</v>
      </c>
      <c r="T24" s="12" t="s">
        <v>10</v>
      </c>
      <c r="U24" s="13">
        <f>SUM(U25:U27)</f>
        <v>63</v>
      </c>
      <c r="V24" s="73">
        <v>1</v>
      </c>
    </row>
    <row r="25" spans="1:22">
      <c r="A25" s="106"/>
      <c r="B25" s="8" t="str">
        <f t="shared" si="0"/>
        <v>602</v>
      </c>
      <c r="C25" s="9">
        <v>47</v>
      </c>
      <c r="D25" s="9">
        <v>48</v>
      </c>
      <c r="E25" s="9">
        <v>49</v>
      </c>
      <c r="F25" s="9">
        <v>50</v>
      </c>
      <c r="G25" s="82"/>
      <c r="H25" s="83"/>
      <c r="I25" s="83"/>
      <c r="J25" s="83"/>
      <c r="K25" s="84"/>
      <c r="L25" s="91"/>
      <c r="S25" s="93"/>
      <c r="T25" s="14" t="s">
        <v>11</v>
      </c>
      <c r="U25" s="13" cm="1">
        <f t="array" ref="U25">CountByColor(C52:K63, T25)</f>
        <v>5</v>
      </c>
      <c r="V25" s="74">
        <v>7.9399999999999998E-2</v>
      </c>
    </row>
    <row r="26" spans="1:22">
      <c r="A26" s="106"/>
      <c r="B26" s="8" t="str">
        <f t="shared" si="0"/>
        <v>603</v>
      </c>
      <c r="C26" s="9">
        <v>51</v>
      </c>
      <c r="D26" s="11">
        <v>52</v>
      </c>
      <c r="E26" s="9">
        <v>53</v>
      </c>
      <c r="F26" s="9">
        <v>54</v>
      </c>
      <c r="G26" s="107"/>
      <c r="H26" s="108"/>
      <c r="I26" s="108"/>
      <c r="J26" s="108"/>
      <c r="K26" s="109"/>
      <c r="L26" s="91"/>
      <c r="S26" s="93"/>
      <c r="T26" s="15" t="s">
        <v>12</v>
      </c>
      <c r="U26" s="13" cm="1">
        <f t="array" ref="U26">CountByColor(C52:K63, T26)</f>
        <v>4</v>
      </c>
      <c r="V26" s="74">
        <v>6.3500000000000001E-2</v>
      </c>
    </row>
    <row r="27" spans="1:22">
      <c r="A27" s="99"/>
      <c r="B27" s="8" t="str">
        <f t="shared" si="0"/>
        <v>604</v>
      </c>
      <c r="C27" s="9">
        <v>55</v>
      </c>
      <c r="D27" s="9">
        <v>56</v>
      </c>
      <c r="E27" s="9">
        <v>57</v>
      </c>
      <c r="F27" s="9">
        <v>58</v>
      </c>
      <c r="G27" s="85"/>
      <c r="H27" s="86"/>
      <c r="I27" s="86"/>
      <c r="J27" s="86"/>
      <c r="K27" s="87"/>
      <c r="L27" s="91"/>
      <c r="S27" s="94"/>
      <c r="T27" s="16" t="s">
        <v>13</v>
      </c>
      <c r="U27" s="13" cm="1">
        <f t="array" ref="U27">CountByColor(C52:K63, T27)</f>
        <v>54</v>
      </c>
      <c r="V27" s="74">
        <v>0.85709999999999997</v>
      </c>
    </row>
    <row r="28" spans="1:22">
      <c r="A28" s="98">
        <v>7</v>
      </c>
      <c r="B28" s="8" t="str">
        <f t="shared" si="0"/>
        <v>701</v>
      </c>
      <c r="C28" s="9">
        <v>1</v>
      </c>
      <c r="D28" s="9">
        <v>2</v>
      </c>
      <c r="E28" s="9">
        <v>3</v>
      </c>
      <c r="F28" s="9">
        <v>4</v>
      </c>
      <c r="G28" s="9">
        <v>17</v>
      </c>
      <c r="H28" s="9">
        <v>18</v>
      </c>
      <c r="I28" s="9">
        <v>19</v>
      </c>
      <c r="J28" s="9">
        <v>20</v>
      </c>
      <c r="K28" s="9">
        <v>21</v>
      </c>
      <c r="L28" s="91" t="s">
        <v>15</v>
      </c>
      <c r="S28" s="1"/>
    </row>
    <row r="29" spans="1:22">
      <c r="A29" s="106"/>
      <c r="B29" s="8" t="str">
        <f t="shared" si="0"/>
        <v>702</v>
      </c>
      <c r="C29" s="9">
        <v>5</v>
      </c>
      <c r="D29" s="9">
        <v>6</v>
      </c>
      <c r="E29" s="9">
        <v>7</v>
      </c>
      <c r="F29" s="9">
        <v>8</v>
      </c>
      <c r="G29" s="82"/>
      <c r="H29" s="83"/>
      <c r="I29" s="83"/>
      <c r="J29" s="83"/>
      <c r="K29" s="84"/>
      <c r="L29" s="91"/>
      <c r="S29" s="92" t="s">
        <v>20</v>
      </c>
      <c r="T29" s="12" t="s">
        <v>10</v>
      </c>
      <c r="U29" s="13">
        <f>SUM(U30:U32)</f>
        <v>63</v>
      </c>
      <c r="V29" s="73">
        <v>1</v>
      </c>
    </row>
    <row r="30" spans="1:22">
      <c r="A30" s="106"/>
      <c r="B30" s="8" t="str">
        <f t="shared" si="0"/>
        <v>703</v>
      </c>
      <c r="C30" s="11">
        <v>9</v>
      </c>
      <c r="D30" s="9">
        <v>10</v>
      </c>
      <c r="E30" s="9">
        <v>11</v>
      </c>
      <c r="F30" s="9">
        <v>12</v>
      </c>
      <c r="G30" s="107"/>
      <c r="H30" s="108"/>
      <c r="I30" s="108"/>
      <c r="J30" s="108"/>
      <c r="K30" s="109"/>
      <c r="L30" s="91"/>
      <c r="S30" s="93"/>
      <c r="T30" s="14" t="s">
        <v>11</v>
      </c>
      <c r="U30" s="13" cm="1">
        <f t="array" ref="U30">CountByColor(C64:K75, T30)</f>
        <v>4</v>
      </c>
      <c r="V30" s="74">
        <v>6.3500000000000001E-2</v>
      </c>
    </row>
    <row r="31" spans="1:22">
      <c r="A31" s="99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85"/>
      <c r="H31" s="86"/>
      <c r="I31" s="86"/>
      <c r="J31" s="86"/>
      <c r="K31" s="87"/>
      <c r="L31" s="91"/>
      <c r="O31" s="6"/>
      <c r="S31" s="93"/>
      <c r="T31" s="15" t="s">
        <v>12</v>
      </c>
      <c r="U31" s="13" cm="1">
        <f t="array" ref="U31">CountByColor(C64:K75, T31)</f>
        <v>0</v>
      </c>
      <c r="V31" s="73">
        <v>0</v>
      </c>
    </row>
    <row r="32" spans="1:22">
      <c r="A32" s="98">
        <v>8</v>
      </c>
      <c r="B32" s="8" t="str">
        <f t="shared" si="0"/>
        <v>801</v>
      </c>
      <c r="C32" s="9">
        <v>22</v>
      </c>
      <c r="D32" s="9">
        <v>23</v>
      </c>
      <c r="E32" s="9">
        <v>24</v>
      </c>
      <c r="F32" s="9">
        <v>25</v>
      </c>
      <c r="G32" s="9">
        <v>38</v>
      </c>
      <c r="H32" s="9">
        <v>39</v>
      </c>
      <c r="I32" s="9">
        <v>40</v>
      </c>
      <c r="J32" s="9">
        <v>41</v>
      </c>
      <c r="K32" s="9">
        <v>42</v>
      </c>
      <c r="L32" s="91"/>
      <c r="O32" s="6"/>
      <c r="S32" s="94"/>
      <c r="T32" s="16" t="s">
        <v>13</v>
      </c>
      <c r="U32" s="13" cm="1">
        <f t="array" ref="U32">CountByColor(C64:K75, T32)</f>
        <v>59</v>
      </c>
      <c r="V32" s="74">
        <v>0.9365</v>
      </c>
    </row>
    <row r="33" spans="1:22">
      <c r="A33" s="106"/>
      <c r="B33" s="8" t="str">
        <f t="shared" si="0"/>
        <v>802</v>
      </c>
      <c r="C33" s="9">
        <v>26</v>
      </c>
      <c r="D33" s="9">
        <v>27</v>
      </c>
      <c r="E33" s="9">
        <v>28</v>
      </c>
      <c r="F33" s="11">
        <v>29</v>
      </c>
      <c r="G33" s="82"/>
      <c r="H33" s="83"/>
      <c r="I33" s="83"/>
      <c r="J33" s="83"/>
      <c r="K33" s="84"/>
      <c r="L33" s="91"/>
      <c r="O33" s="6"/>
      <c r="S33" s="1"/>
    </row>
    <row r="34" spans="1:22">
      <c r="A34" s="106"/>
      <c r="B34" s="8" t="str">
        <f t="shared" si="0"/>
        <v>803</v>
      </c>
      <c r="C34" s="9">
        <v>30</v>
      </c>
      <c r="D34" s="9">
        <v>31</v>
      </c>
      <c r="E34" s="9">
        <v>32</v>
      </c>
      <c r="F34" s="9">
        <v>33</v>
      </c>
      <c r="G34" s="107"/>
      <c r="H34" s="108"/>
      <c r="I34" s="108"/>
      <c r="J34" s="108"/>
      <c r="K34" s="109"/>
      <c r="L34" s="91"/>
      <c r="O34" s="6"/>
      <c r="S34" s="92" t="s">
        <v>21</v>
      </c>
      <c r="T34" s="12" t="s">
        <v>10</v>
      </c>
      <c r="U34" s="13">
        <f>SUM(U35:U37)</f>
        <v>84</v>
      </c>
      <c r="V34" s="73">
        <v>1</v>
      </c>
    </row>
    <row r="35" spans="1:22">
      <c r="A35" s="99"/>
      <c r="B35" s="8" t="str">
        <f t="shared" si="0"/>
        <v>804</v>
      </c>
      <c r="C35" s="9">
        <v>34</v>
      </c>
      <c r="D35" s="9">
        <v>35</v>
      </c>
      <c r="E35" s="9">
        <v>36</v>
      </c>
      <c r="F35" s="9">
        <v>37</v>
      </c>
      <c r="G35" s="85"/>
      <c r="H35" s="86"/>
      <c r="I35" s="86"/>
      <c r="J35" s="86"/>
      <c r="K35" s="87"/>
      <c r="L35" s="91"/>
      <c r="O35" s="6"/>
      <c r="S35" s="93"/>
      <c r="T35" s="14" t="s">
        <v>11</v>
      </c>
      <c r="U35" s="13" cm="1">
        <f t="array" ref="U35">CountByColor(C76:K91, T35)</f>
        <v>4</v>
      </c>
      <c r="V35" s="74">
        <v>4.7600000000000003E-2</v>
      </c>
    </row>
    <row r="36" spans="1:22">
      <c r="A36" s="98">
        <v>9</v>
      </c>
      <c r="B36" s="8" t="str">
        <f t="shared" si="0"/>
        <v>901</v>
      </c>
      <c r="C36" s="9">
        <v>43</v>
      </c>
      <c r="D36" s="9">
        <v>44</v>
      </c>
      <c r="E36" s="9">
        <v>45</v>
      </c>
      <c r="F36" s="9">
        <v>46</v>
      </c>
      <c r="G36" s="9">
        <v>59</v>
      </c>
      <c r="H36" s="9">
        <v>60</v>
      </c>
      <c r="I36" s="9">
        <v>61</v>
      </c>
      <c r="J36" s="9">
        <v>62</v>
      </c>
      <c r="K36" s="9">
        <v>63</v>
      </c>
      <c r="L36" s="91"/>
      <c r="N36" s="1"/>
      <c r="O36" s="6"/>
      <c r="S36" s="93"/>
      <c r="T36" s="15" t="s">
        <v>12</v>
      </c>
      <c r="U36" s="13" cm="1">
        <f t="array" ref="U36">CountByColor(C76:L91, T36)</f>
        <v>6</v>
      </c>
      <c r="V36" s="74">
        <v>7.1400000000000005E-2</v>
      </c>
    </row>
    <row r="37" spans="1:22">
      <c r="A37" s="106"/>
      <c r="B37" s="8" t="str">
        <f t="shared" si="0"/>
        <v>902</v>
      </c>
      <c r="C37" s="9">
        <v>47</v>
      </c>
      <c r="D37" s="9">
        <v>48</v>
      </c>
      <c r="E37" s="11">
        <v>49</v>
      </c>
      <c r="F37" s="9">
        <v>50</v>
      </c>
      <c r="G37" s="82"/>
      <c r="H37" s="83"/>
      <c r="I37" s="83"/>
      <c r="J37" s="83"/>
      <c r="K37" s="84"/>
      <c r="L37" s="91"/>
      <c r="N37" s="1"/>
      <c r="O37" s="6"/>
      <c r="S37" s="94"/>
      <c r="T37" s="16" t="s">
        <v>13</v>
      </c>
      <c r="U37" s="13" cm="1">
        <f t="array" ref="U37">CountByColor(C76:K91, T37)</f>
        <v>74</v>
      </c>
      <c r="V37" s="74">
        <v>0.88100000000000001</v>
      </c>
    </row>
    <row r="38" spans="1:22">
      <c r="A38" s="106"/>
      <c r="B38" s="8" t="str">
        <f t="shared" si="0"/>
        <v>903</v>
      </c>
      <c r="C38" s="9">
        <v>51</v>
      </c>
      <c r="D38" s="9">
        <v>52</v>
      </c>
      <c r="E38" s="9">
        <v>53</v>
      </c>
      <c r="F38" s="11">
        <v>54</v>
      </c>
      <c r="G38" s="107"/>
      <c r="H38" s="108"/>
      <c r="I38" s="108"/>
      <c r="J38" s="108"/>
      <c r="K38" s="109"/>
      <c r="L38" s="91"/>
      <c r="N38" s="1"/>
      <c r="S38" s="1"/>
    </row>
    <row r="39" spans="1:22">
      <c r="A39" s="99"/>
      <c r="B39" s="8" t="str">
        <f t="shared" si="0"/>
        <v>904</v>
      </c>
      <c r="C39" s="11">
        <v>55</v>
      </c>
      <c r="D39" s="9">
        <v>56</v>
      </c>
      <c r="E39" s="11">
        <v>57</v>
      </c>
      <c r="F39" s="9">
        <v>58</v>
      </c>
      <c r="G39" s="85"/>
      <c r="H39" s="86"/>
      <c r="I39" s="86"/>
      <c r="J39" s="86"/>
      <c r="K39" s="87"/>
      <c r="L39" s="91"/>
      <c r="N39" s="17"/>
      <c r="S39" s="92" t="s">
        <v>22</v>
      </c>
      <c r="T39" s="12" t="s">
        <v>10</v>
      </c>
      <c r="U39" s="13">
        <f>SUM(U40:U42)</f>
        <v>63</v>
      </c>
      <c r="V39" s="73">
        <v>1</v>
      </c>
    </row>
    <row r="40" spans="1:22">
      <c r="A40" s="98">
        <v>10</v>
      </c>
      <c r="B40" s="8" t="str">
        <f t="shared" si="0"/>
        <v>1001</v>
      </c>
      <c r="C40" s="10">
        <v>1</v>
      </c>
      <c r="D40" s="9">
        <v>2</v>
      </c>
      <c r="E40" s="9">
        <v>3</v>
      </c>
      <c r="F40" s="9">
        <v>4</v>
      </c>
      <c r="G40" s="9">
        <v>17</v>
      </c>
      <c r="H40" s="9">
        <v>18</v>
      </c>
      <c r="I40" s="10">
        <v>19</v>
      </c>
      <c r="J40" s="9">
        <v>20</v>
      </c>
      <c r="K40" s="9">
        <v>21</v>
      </c>
      <c r="L40" s="91" t="s">
        <v>16</v>
      </c>
      <c r="M40" s="1"/>
      <c r="N40" s="6"/>
      <c r="R40" s="1"/>
      <c r="S40" s="93"/>
      <c r="T40" s="14" t="s">
        <v>11</v>
      </c>
      <c r="U40" s="13" cm="1">
        <f t="array" ref="U40">CountByColor(C92:L103, T40)</f>
        <v>8</v>
      </c>
      <c r="V40" s="74">
        <v>0.127</v>
      </c>
    </row>
    <row r="41" spans="1:22">
      <c r="A41" s="106"/>
      <c r="B41" s="8" t="str">
        <f t="shared" si="0"/>
        <v>1002</v>
      </c>
      <c r="C41" s="9">
        <v>5</v>
      </c>
      <c r="D41" s="9">
        <v>6</v>
      </c>
      <c r="E41" s="9">
        <v>7</v>
      </c>
      <c r="F41" s="9">
        <v>8</v>
      </c>
      <c r="G41" s="82"/>
      <c r="H41" s="83"/>
      <c r="I41" s="83"/>
      <c r="J41" s="83"/>
      <c r="K41" s="84"/>
      <c r="L41" s="91"/>
      <c r="M41" s="1"/>
      <c r="N41" s="6"/>
      <c r="R41" s="1"/>
      <c r="S41" s="93"/>
      <c r="T41" s="15" t="s">
        <v>12</v>
      </c>
      <c r="U41" s="13" cm="1">
        <f t="array" ref="U41">CountByColor(C92:K103, T41)</f>
        <v>0</v>
      </c>
      <c r="V41" s="73">
        <v>0</v>
      </c>
    </row>
    <row r="42" spans="1:22">
      <c r="A42" s="106"/>
      <c r="B42" s="8" t="str">
        <f t="shared" si="0"/>
        <v>1003</v>
      </c>
      <c r="C42" s="9">
        <v>9</v>
      </c>
      <c r="D42" s="9">
        <v>10</v>
      </c>
      <c r="E42" s="9">
        <v>11</v>
      </c>
      <c r="F42" s="11">
        <v>12</v>
      </c>
      <c r="G42" s="107"/>
      <c r="H42" s="108"/>
      <c r="I42" s="108"/>
      <c r="J42" s="108"/>
      <c r="K42" s="109"/>
      <c r="L42" s="91"/>
      <c r="M42" s="1"/>
      <c r="N42" s="6"/>
      <c r="R42" s="1"/>
      <c r="S42" s="94"/>
      <c r="T42" s="16" t="s">
        <v>13</v>
      </c>
      <c r="U42" s="13" cm="1">
        <f t="array" ref="U42">CountByColor(C92:K103, T42)</f>
        <v>55</v>
      </c>
      <c r="V42" s="74">
        <v>0.873</v>
      </c>
    </row>
    <row r="43" spans="1:22">
      <c r="A43" s="99"/>
      <c r="B43" s="8" t="str">
        <f t="shared" si="0"/>
        <v>1004</v>
      </c>
      <c r="C43" s="11">
        <v>13</v>
      </c>
      <c r="D43" s="9">
        <v>14</v>
      </c>
      <c r="E43" s="9">
        <v>15</v>
      </c>
      <c r="F43" s="11">
        <v>16</v>
      </c>
      <c r="G43" s="85"/>
      <c r="H43" s="86"/>
      <c r="I43" s="86"/>
      <c r="J43" s="86"/>
      <c r="K43" s="87"/>
      <c r="L43" s="91"/>
      <c r="M43" s="1"/>
      <c r="N43" s="6"/>
      <c r="R43" s="1"/>
    </row>
    <row r="44" spans="1:22">
      <c r="A44" s="98">
        <v>11</v>
      </c>
      <c r="B44" s="8" t="str">
        <f t="shared" si="0"/>
        <v>1101</v>
      </c>
      <c r="C44" s="9">
        <v>22</v>
      </c>
      <c r="D44" s="9">
        <v>23</v>
      </c>
      <c r="E44" s="9">
        <v>24</v>
      </c>
      <c r="F44" s="9">
        <v>25</v>
      </c>
      <c r="G44" s="9">
        <v>38</v>
      </c>
      <c r="H44" s="9">
        <v>39</v>
      </c>
      <c r="I44" s="9">
        <v>40</v>
      </c>
      <c r="J44" s="9">
        <v>41</v>
      </c>
      <c r="K44" s="9">
        <v>42</v>
      </c>
      <c r="L44" s="91"/>
      <c r="M44" s="1"/>
      <c r="N44" s="6"/>
      <c r="R44" s="1"/>
    </row>
    <row r="45" spans="1:22">
      <c r="A45" s="106"/>
      <c r="B45" s="8" t="str">
        <f t="shared" si="0"/>
        <v>1102</v>
      </c>
      <c r="C45" s="9">
        <v>26</v>
      </c>
      <c r="D45" s="9">
        <v>27</v>
      </c>
      <c r="E45" s="9">
        <v>28</v>
      </c>
      <c r="F45" s="9">
        <v>29</v>
      </c>
      <c r="G45" s="82"/>
      <c r="H45" s="83"/>
      <c r="I45" s="83"/>
      <c r="J45" s="83"/>
      <c r="K45" s="84"/>
      <c r="L45" s="91"/>
      <c r="M45" s="1"/>
      <c r="N45" s="6"/>
      <c r="R45" s="1"/>
    </row>
    <row r="46" spans="1:22">
      <c r="A46" s="106"/>
      <c r="B46" s="8" t="str">
        <f t="shared" si="0"/>
        <v>1103</v>
      </c>
      <c r="C46" s="9">
        <v>30</v>
      </c>
      <c r="D46" s="9">
        <v>31</v>
      </c>
      <c r="E46" s="9">
        <v>32</v>
      </c>
      <c r="F46" s="11">
        <v>33</v>
      </c>
      <c r="G46" s="107"/>
      <c r="H46" s="108"/>
      <c r="I46" s="108"/>
      <c r="J46" s="108"/>
      <c r="K46" s="109"/>
      <c r="L46" s="91"/>
      <c r="M46" s="1"/>
      <c r="N46" s="6"/>
      <c r="R46" s="1"/>
    </row>
    <row r="47" spans="1:22">
      <c r="A47" s="99"/>
      <c r="B47" s="8" t="str">
        <f t="shared" si="0"/>
        <v>1104</v>
      </c>
      <c r="C47" s="9">
        <v>34</v>
      </c>
      <c r="D47" s="9">
        <v>35</v>
      </c>
      <c r="E47" s="11">
        <v>36</v>
      </c>
      <c r="F47" s="9">
        <v>37</v>
      </c>
      <c r="G47" s="85"/>
      <c r="H47" s="86"/>
      <c r="I47" s="86"/>
      <c r="J47" s="86"/>
      <c r="K47" s="87"/>
      <c r="L47" s="91"/>
      <c r="M47" s="1"/>
      <c r="N47" s="6"/>
      <c r="R47" s="1"/>
    </row>
    <row r="48" spans="1:22">
      <c r="A48" s="80">
        <v>12</v>
      </c>
      <c r="B48" s="8" t="str">
        <f t="shared" si="0"/>
        <v>1201</v>
      </c>
      <c r="C48" s="9">
        <v>43</v>
      </c>
      <c r="D48" s="9">
        <v>44</v>
      </c>
      <c r="E48" s="9">
        <v>45</v>
      </c>
      <c r="F48" s="9">
        <v>46</v>
      </c>
      <c r="G48" s="9">
        <v>59</v>
      </c>
      <c r="H48" s="9">
        <v>60</v>
      </c>
      <c r="I48" s="9">
        <v>61</v>
      </c>
      <c r="J48" s="9">
        <v>62</v>
      </c>
      <c r="K48" s="9">
        <v>63</v>
      </c>
      <c r="L48" s="91"/>
      <c r="M48" s="1"/>
      <c r="N48" s="6"/>
      <c r="O48" s="6"/>
      <c r="R48" s="1"/>
    </row>
    <row r="49" spans="1:18">
      <c r="A49" s="80"/>
      <c r="B49" s="8" t="str">
        <f t="shared" si="0"/>
        <v>1202</v>
      </c>
      <c r="C49" s="9">
        <v>47</v>
      </c>
      <c r="D49" s="9">
        <v>48</v>
      </c>
      <c r="E49" s="9">
        <v>49</v>
      </c>
      <c r="F49" s="9">
        <v>50</v>
      </c>
      <c r="G49" s="82"/>
      <c r="H49" s="83"/>
      <c r="I49" s="83"/>
      <c r="J49" s="83"/>
      <c r="K49" s="84"/>
      <c r="L49" s="91"/>
      <c r="M49" s="1"/>
      <c r="N49" s="6"/>
      <c r="O49" s="6"/>
      <c r="R49" s="1"/>
    </row>
    <row r="50" spans="1:18">
      <c r="A50" s="80"/>
      <c r="B50" s="8" t="str">
        <f t="shared" si="0"/>
        <v>1203</v>
      </c>
      <c r="C50" s="9">
        <v>51</v>
      </c>
      <c r="D50" s="9">
        <v>52</v>
      </c>
      <c r="E50" s="9">
        <v>53</v>
      </c>
      <c r="F50" s="9">
        <v>54</v>
      </c>
      <c r="G50" s="107"/>
      <c r="H50" s="108"/>
      <c r="I50" s="108"/>
      <c r="J50" s="108"/>
      <c r="K50" s="109"/>
      <c r="L50" s="91"/>
      <c r="O50" s="6"/>
    </row>
    <row r="51" spans="1:18">
      <c r="A51" s="80"/>
      <c r="B51" s="8" t="str">
        <f t="shared" si="0"/>
        <v>1204</v>
      </c>
      <c r="C51" s="9">
        <v>55</v>
      </c>
      <c r="D51" s="9">
        <v>56</v>
      </c>
      <c r="E51" s="9">
        <v>57</v>
      </c>
      <c r="F51" s="9">
        <v>58</v>
      </c>
      <c r="G51" s="85"/>
      <c r="H51" s="86"/>
      <c r="I51" s="86"/>
      <c r="J51" s="86"/>
      <c r="K51" s="87"/>
      <c r="L51" s="91"/>
      <c r="O51" s="6"/>
    </row>
    <row r="52" spans="1:18">
      <c r="A52" s="98">
        <v>13</v>
      </c>
      <c r="B52" s="8" t="str">
        <f t="shared" si="0"/>
        <v>1301</v>
      </c>
      <c r="C52" s="9">
        <v>1</v>
      </c>
      <c r="D52" s="9">
        <v>2</v>
      </c>
      <c r="E52" s="9">
        <v>3</v>
      </c>
      <c r="F52" s="9">
        <v>4</v>
      </c>
      <c r="G52" s="9">
        <v>17</v>
      </c>
      <c r="H52" s="9">
        <v>18</v>
      </c>
      <c r="I52" s="9">
        <v>19</v>
      </c>
      <c r="J52" s="11">
        <v>20</v>
      </c>
      <c r="K52" s="9">
        <v>21</v>
      </c>
      <c r="L52" s="91" t="s">
        <v>18</v>
      </c>
      <c r="O52" s="6"/>
    </row>
    <row r="53" spans="1:18">
      <c r="A53" s="106"/>
      <c r="B53" s="8" t="str">
        <f t="shared" si="0"/>
        <v>1302</v>
      </c>
      <c r="C53" s="9">
        <v>5</v>
      </c>
      <c r="D53" s="9">
        <v>6</v>
      </c>
      <c r="E53" s="9">
        <v>7</v>
      </c>
      <c r="F53" s="9">
        <v>8</v>
      </c>
      <c r="G53" s="82"/>
      <c r="H53" s="83"/>
      <c r="I53" s="83"/>
      <c r="J53" s="83"/>
      <c r="K53" s="84"/>
      <c r="L53" s="91"/>
      <c r="O53" s="6"/>
    </row>
    <row r="54" spans="1:18">
      <c r="A54" s="106"/>
      <c r="B54" s="8" t="str">
        <f t="shared" si="0"/>
        <v>1303</v>
      </c>
      <c r="C54" s="9">
        <v>9</v>
      </c>
      <c r="D54" s="9">
        <v>10</v>
      </c>
      <c r="E54" s="9">
        <v>11</v>
      </c>
      <c r="F54" s="9">
        <v>12</v>
      </c>
      <c r="G54" s="107"/>
      <c r="H54" s="108"/>
      <c r="I54" s="108"/>
      <c r="J54" s="108"/>
      <c r="K54" s="109"/>
      <c r="L54" s="91"/>
      <c r="O54" s="6"/>
    </row>
    <row r="55" spans="1:18">
      <c r="A55" s="99"/>
      <c r="B55" s="8" t="str">
        <f t="shared" si="0"/>
        <v>1304</v>
      </c>
      <c r="C55" s="9">
        <v>13</v>
      </c>
      <c r="D55" s="9">
        <v>14</v>
      </c>
      <c r="E55" s="11">
        <v>15</v>
      </c>
      <c r="F55" s="9">
        <v>16</v>
      </c>
      <c r="G55" s="85"/>
      <c r="H55" s="86"/>
      <c r="I55" s="86"/>
      <c r="J55" s="86"/>
      <c r="K55" s="87"/>
      <c r="L55" s="91"/>
      <c r="O55" s="6"/>
    </row>
    <row r="56" spans="1:18">
      <c r="A56" s="98">
        <v>14</v>
      </c>
      <c r="B56" s="8" t="str">
        <f t="shared" si="0"/>
        <v>1401</v>
      </c>
      <c r="C56" s="10">
        <v>22</v>
      </c>
      <c r="D56" s="10">
        <v>23</v>
      </c>
      <c r="E56" s="11">
        <v>24</v>
      </c>
      <c r="F56" s="10">
        <v>25</v>
      </c>
      <c r="G56" s="10">
        <v>38</v>
      </c>
      <c r="H56" s="9">
        <v>39</v>
      </c>
      <c r="I56" s="9">
        <v>40</v>
      </c>
      <c r="J56" s="9">
        <v>41</v>
      </c>
      <c r="K56" s="9">
        <v>42</v>
      </c>
      <c r="L56" s="91"/>
      <c r="O56" s="6"/>
    </row>
    <row r="57" spans="1:18">
      <c r="A57" s="106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82"/>
      <c r="H57" s="83"/>
      <c r="I57" s="83"/>
      <c r="J57" s="83"/>
      <c r="K57" s="84"/>
      <c r="L57" s="91"/>
      <c r="O57" s="6"/>
    </row>
    <row r="58" spans="1:18">
      <c r="A58" s="106"/>
      <c r="B58" s="8" t="str">
        <f t="shared" si="0"/>
        <v>1403</v>
      </c>
      <c r="C58" s="9">
        <v>30</v>
      </c>
      <c r="D58" s="9">
        <v>31</v>
      </c>
      <c r="E58" s="9">
        <v>32</v>
      </c>
      <c r="F58" s="9">
        <v>33</v>
      </c>
      <c r="G58" s="107"/>
      <c r="H58" s="108"/>
      <c r="I58" s="108"/>
      <c r="J58" s="108"/>
      <c r="K58" s="109"/>
      <c r="L58" s="91"/>
      <c r="O58" s="6"/>
    </row>
    <row r="59" spans="1:18">
      <c r="A59" s="99"/>
      <c r="B59" s="8" t="str">
        <f t="shared" si="0"/>
        <v>1404</v>
      </c>
      <c r="C59" s="11">
        <v>34</v>
      </c>
      <c r="D59" s="9">
        <v>35</v>
      </c>
      <c r="E59" s="9">
        <v>36</v>
      </c>
      <c r="F59" s="9">
        <v>37</v>
      </c>
      <c r="G59" s="85"/>
      <c r="H59" s="86"/>
      <c r="I59" s="86"/>
      <c r="J59" s="86"/>
      <c r="K59" s="87"/>
      <c r="L59" s="91"/>
      <c r="O59" s="6"/>
    </row>
    <row r="60" spans="1:18">
      <c r="A60" s="98">
        <v>15</v>
      </c>
      <c r="B60" s="8" t="str">
        <f t="shared" si="0"/>
        <v>1501</v>
      </c>
      <c r="C60" s="9">
        <v>43</v>
      </c>
      <c r="D60" s="9">
        <v>44</v>
      </c>
      <c r="E60" s="9">
        <v>45</v>
      </c>
      <c r="F60" s="9">
        <v>46</v>
      </c>
      <c r="G60" s="11">
        <v>59</v>
      </c>
      <c r="H60" s="9">
        <v>60</v>
      </c>
      <c r="I60" s="9">
        <v>61</v>
      </c>
      <c r="J60" s="9">
        <v>62</v>
      </c>
      <c r="K60" s="9">
        <v>63</v>
      </c>
      <c r="L60" s="91"/>
      <c r="O60" s="6"/>
    </row>
    <row r="61" spans="1:18">
      <c r="A61" s="106"/>
      <c r="B61" s="8" t="str">
        <f t="shared" si="0"/>
        <v>1502</v>
      </c>
      <c r="C61" s="9">
        <v>47</v>
      </c>
      <c r="D61" s="9">
        <v>48</v>
      </c>
      <c r="E61" s="9">
        <v>49</v>
      </c>
      <c r="F61" s="9">
        <v>50</v>
      </c>
      <c r="G61" s="82"/>
      <c r="H61" s="83"/>
      <c r="I61" s="83"/>
      <c r="J61" s="83"/>
      <c r="K61" s="84"/>
      <c r="L61" s="91"/>
      <c r="O61" s="6"/>
    </row>
    <row r="62" spans="1:18">
      <c r="A62" s="106"/>
      <c r="B62" s="8" t="str">
        <f t="shared" si="0"/>
        <v>1503</v>
      </c>
      <c r="C62" s="9">
        <v>51</v>
      </c>
      <c r="D62" s="9">
        <v>52</v>
      </c>
      <c r="E62" s="9">
        <v>53</v>
      </c>
      <c r="F62" s="9">
        <v>54</v>
      </c>
      <c r="G62" s="107"/>
      <c r="H62" s="108"/>
      <c r="I62" s="108"/>
      <c r="J62" s="108"/>
      <c r="K62" s="109"/>
      <c r="L62" s="91"/>
      <c r="O62" s="6"/>
    </row>
    <row r="63" spans="1:18">
      <c r="A63" s="99"/>
      <c r="B63" s="8" t="str">
        <f t="shared" si="0"/>
        <v>1504</v>
      </c>
      <c r="C63" s="9">
        <v>55</v>
      </c>
      <c r="D63" s="9">
        <v>56</v>
      </c>
      <c r="E63" s="9">
        <v>57</v>
      </c>
      <c r="F63" s="9">
        <v>58</v>
      </c>
      <c r="G63" s="85"/>
      <c r="H63" s="86"/>
      <c r="I63" s="86"/>
      <c r="J63" s="86"/>
      <c r="K63" s="87"/>
      <c r="L63" s="91"/>
      <c r="O63" s="6"/>
    </row>
    <row r="64" spans="1:18">
      <c r="A64" s="98">
        <v>16</v>
      </c>
      <c r="B64" s="8" t="str">
        <f t="shared" si="0"/>
        <v>1601</v>
      </c>
      <c r="C64" s="9">
        <v>1</v>
      </c>
      <c r="D64" s="9">
        <v>2</v>
      </c>
      <c r="E64" s="9">
        <v>3</v>
      </c>
      <c r="F64" s="11">
        <v>4</v>
      </c>
      <c r="G64" s="9">
        <v>17</v>
      </c>
      <c r="H64" s="11">
        <v>18</v>
      </c>
      <c r="I64" s="9">
        <v>19</v>
      </c>
      <c r="J64" s="9">
        <v>20</v>
      </c>
      <c r="K64" s="9">
        <v>21</v>
      </c>
      <c r="L64" s="91" t="s">
        <v>20</v>
      </c>
      <c r="O64" s="6"/>
    </row>
    <row r="65" spans="1:15">
      <c r="A65" s="106"/>
      <c r="B65" s="8" t="str">
        <f t="shared" si="0"/>
        <v>1602</v>
      </c>
      <c r="C65" s="9">
        <v>5</v>
      </c>
      <c r="D65" s="9">
        <v>6</v>
      </c>
      <c r="E65" s="9">
        <v>7</v>
      </c>
      <c r="F65" s="9">
        <v>8</v>
      </c>
      <c r="G65" s="82"/>
      <c r="H65" s="83"/>
      <c r="I65" s="83"/>
      <c r="J65" s="83"/>
      <c r="K65" s="84"/>
      <c r="L65" s="91"/>
      <c r="O65" s="6"/>
    </row>
    <row r="66" spans="1:15">
      <c r="A66" s="106"/>
      <c r="B66" s="8" t="str">
        <f t="shared" si="0"/>
        <v>1603</v>
      </c>
      <c r="C66" s="9">
        <v>9</v>
      </c>
      <c r="D66" s="9">
        <v>10</v>
      </c>
      <c r="E66" s="9">
        <v>11</v>
      </c>
      <c r="F66" s="9">
        <v>12</v>
      </c>
      <c r="G66" s="107"/>
      <c r="H66" s="108"/>
      <c r="I66" s="108"/>
      <c r="J66" s="108"/>
      <c r="K66" s="109"/>
      <c r="L66" s="91"/>
      <c r="O66" s="6"/>
    </row>
    <row r="67" spans="1:15">
      <c r="A67" s="99"/>
      <c r="B67" s="8" t="str">
        <f t="shared" si="0"/>
        <v>1604</v>
      </c>
      <c r="C67" s="9">
        <v>13</v>
      </c>
      <c r="D67" s="9">
        <v>14</v>
      </c>
      <c r="E67" s="9">
        <v>15</v>
      </c>
      <c r="F67" s="9">
        <v>16</v>
      </c>
      <c r="G67" s="85"/>
      <c r="H67" s="86"/>
      <c r="I67" s="86"/>
      <c r="J67" s="86"/>
      <c r="K67" s="87"/>
      <c r="L67" s="91"/>
      <c r="O67" s="6"/>
    </row>
    <row r="68" spans="1:15">
      <c r="A68" s="98">
        <v>17</v>
      </c>
      <c r="B68" s="8" t="str">
        <f t="shared" si="0"/>
        <v>1701</v>
      </c>
      <c r="C68" s="9">
        <v>22</v>
      </c>
      <c r="D68" s="9">
        <v>23</v>
      </c>
      <c r="E68" s="9">
        <v>24</v>
      </c>
      <c r="F68" s="9">
        <v>25</v>
      </c>
      <c r="G68" s="9">
        <v>38</v>
      </c>
      <c r="H68" s="11">
        <v>39</v>
      </c>
      <c r="I68" s="9">
        <v>40</v>
      </c>
      <c r="J68" s="11">
        <v>41</v>
      </c>
      <c r="K68" s="9">
        <v>42</v>
      </c>
      <c r="L68" s="91"/>
      <c r="O68" s="6"/>
    </row>
    <row r="69" spans="1:15">
      <c r="A69" s="106"/>
      <c r="B69" s="8" t="str">
        <f t="shared" ref="B69:B103" si="1">INT((ROW()-4)/4)+1 &amp; TEXT(MOD(ROW()-4,4)+1,"00")</f>
        <v>1702</v>
      </c>
      <c r="C69" s="9">
        <v>26</v>
      </c>
      <c r="D69" s="9">
        <v>27</v>
      </c>
      <c r="E69" s="9">
        <v>28</v>
      </c>
      <c r="F69" s="9">
        <v>29</v>
      </c>
      <c r="G69" s="82"/>
      <c r="H69" s="83"/>
      <c r="I69" s="83"/>
      <c r="J69" s="83"/>
      <c r="K69" s="84"/>
      <c r="L69" s="91"/>
      <c r="O69" s="6"/>
    </row>
    <row r="70" spans="1:15">
      <c r="A70" s="106"/>
      <c r="B70" s="8" t="str">
        <f t="shared" si="1"/>
        <v>1703</v>
      </c>
      <c r="C70" s="9">
        <v>30</v>
      </c>
      <c r="D70" s="9">
        <v>31</v>
      </c>
      <c r="E70" s="9">
        <v>32</v>
      </c>
      <c r="F70" s="9">
        <v>33</v>
      </c>
      <c r="G70" s="107"/>
      <c r="H70" s="108"/>
      <c r="I70" s="108"/>
      <c r="J70" s="108"/>
      <c r="K70" s="109"/>
      <c r="L70" s="91"/>
      <c r="O70" s="6"/>
    </row>
    <row r="71" spans="1:15">
      <c r="A71" s="99"/>
      <c r="B71" s="8" t="str">
        <f t="shared" si="1"/>
        <v>1704</v>
      </c>
      <c r="C71" s="9">
        <v>34</v>
      </c>
      <c r="D71" s="9">
        <v>35</v>
      </c>
      <c r="E71" s="9">
        <v>36</v>
      </c>
      <c r="F71" s="9">
        <v>37</v>
      </c>
      <c r="G71" s="85"/>
      <c r="H71" s="86"/>
      <c r="I71" s="86"/>
      <c r="J71" s="86"/>
      <c r="K71" s="87"/>
      <c r="L71" s="91"/>
      <c r="O71" s="6"/>
    </row>
    <row r="72" spans="1:15">
      <c r="A72" s="98">
        <v>18</v>
      </c>
      <c r="B72" s="8" t="str">
        <f t="shared" si="1"/>
        <v>1801</v>
      </c>
      <c r="C72" s="9">
        <v>43</v>
      </c>
      <c r="D72" s="9">
        <v>44</v>
      </c>
      <c r="E72" s="9">
        <v>45</v>
      </c>
      <c r="F72" s="9">
        <v>46</v>
      </c>
      <c r="G72" s="9">
        <v>59</v>
      </c>
      <c r="H72" s="9">
        <v>60</v>
      </c>
      <c r="I72" s="9">
        <v>61</v>
      </c>
      <c r="J72" s="9">
        <v>62</v>
      </c>
      <c r="K72" s="9">
        <v>63</v>
      </c>
      <c r="L72" s="91"/>
      <c r="O72" s="6"/>
    </row>
    <row r="73" spans="1:15">
      <c r="A73" s="106"/>
      <c r="B73" s="8" t="str">
        <f t="shared" si="1"/>
        <v>1802</v>
      </c>
      <c r="C73" s="9">
        <v>47</v>
      </c>
      <c r="D73" s="9">
        <v>48</v>
      </c>
      <c r="E73" s="9">
        <v>49</v>
      </c>
      <c r="F73" s="9">
        <v>50</v>
      </c>
      <c r="G73" s="82"/>
      <c r="H73" s="83"/>
      <c r="I73" s="83"/>
      <c r="J73" s="83"/>
      <c r="K73" s="84"/>
      <c r="L73" s="91"/>
      <c r="O73" s="6"/>
    </row>
    <row r="74" spans="1:15">
      <c r="A74" s="106"/>
      <c r="B74" s="8" t="str">
        <f t="shared" si="1"/>
        <v>1803</v>
      </c>
      <c r="C74" s="9">
        <v>51</v>
      </c>
      <c r="D74" s="9">
        <v>52</v>
      </c>
      <c r="E74" s="9">
        <v>53</v>
      </c>
      <c r="F74" s="9">
        <v>54</v>
      </c>
      <c r="G74" s="107"/>
      <c r="H74" s="108"/>
      <c r="I74" s="108"/>
      <c r="J74" s="108"/>
      <c r="K74" s="109"/>
      <c r="L74" s="91"/>
      <c r="O74" s="6"/>
    </row>
    <row r="75" spans="1:15">
      <c r="A75" s="99"/>
      <c r="B75" s="8" t="str">
        <f t="shared" si="1"/>
        <v>1804</v>
      </c>
      <c r="C75" s="9">
        <v>55</v>
      </c>
      <c r="D75" s="9">
        <v>56</v>
      </c>
      <c r="E75" s="9">
        <v>57</v>
      </c>
      <c r="F75" s="9">
        <v>58</v>
      </c>
      <c r="G75" s="85"/>
      <c r="H75" s="86"/>
      <c r="I75" s="86"/>
      <c r="J75" s="86"/>
      <c r="K75" s="87"/>
      <c r="L75" s="91"/>
      <c r="O75" s="6"/>
    </row>
    <row r="76" spans="1:15">
      <c r="A76" s="98">
        <v>19</v>
      </c>
      <c r="B76" s="8" t="str">
        <f t="shared" si="1"/>
        <v>1901</v>
      </c>
      <c r="C76" s="9">
        <v>1</v>
      </c>
      <c r="D76" s="9">
        <v>2</v>
      </c>
      <c r="E76" s="9">
        <v>3</v>
      </c>
      <c r="F76" s="9">
        <v>4</v>
      </c>
      <c r="G76" s="9">
        <v>17</v>
      </c>
      <c r="H76" s="9">
        <v>18</v>
      </c>
      <c r="I76" s="9">
        <v>19</v>
      </c>
      <c r="J76" s="9">
        <v>20</v>
      </c>
      <c r="K76" s="9">
        <v>21</v>
      </c>
      <c r="L76" s="91" t="s">
        <v>21</v>
      </c>
      <c r="O76" s="6"/>
    </row>
    <row r="77" spans="1:15">
      <c r="A77" s="106"/>
      <c r="B77" s="8" t="str">
        <f t="shared" si="1"/>
        <v>1902</v>
      </c>
      <c r="C77" s="9">
        <v>5</v>
      </c>
      <c r="D77" s="9">
        <v>6</v>
      </c>
      <c r="E77" s="9">
        <v>7</v>
      </c>
      <c r="F77" s="9">
        <v>8</v>
      </c>
      <c r="G77" s="82"/>
      <c r="H77" s="83"/>
      <c r="I77" s="83"/>
      <c r="J77" s="83"/>
      <c r="K77" s="84"/>
      <c r="L77" s="91"/>
      <c r="O77" s="6"/>
    </row>
    <row r="78" spans="1:15">
      <c r="A78" s="106"/>
      <c r="B78" s="8" t="str">
        <f t="shared" si="1"/>
        <v>1903</v>
      </c>
      <c r="C78" s="9">
        <v>9</v>
      </c>
      <c r="D78" s="9">
        <v>10</v>
      </c>
      <c r="E78" s="9">
        <v>11</v>
      </c>
      <c r="F78" s="9">
        <v>12</v>
      </c>
      <c r="G78" s="107"/>
      <c r="H78" s="108"/>
      <c r="I78" s="108"/>
      <c r="J78" s="108"/>
      <c r="K78" s="109"/>
      <c r="L78" s="91"/>
      <c r="O78" s="6"/>
    </row>
    <row r="79" spans="1:15">
      <c r="A79" s="99"/>
      <c r="B79" s="8" t="str">
        <f t="shared" si="1"/>
        <v>1904</v>
      </c>
      <c r="C79" s="9">
        <v>13</v>
      </c>
      <c r="D79" s="9">
        <v>14</v>
      </c>
      <c r="E79" s="9">
        <v>15</v>
      </c>
      <c r="F79" s="9">
        <v>16</v>
      </c>
      <c r="G79" s="85"/>
      <c r="H79" s="86"/>
      <c r="I79" s="86"/>
      <c r="J79" s="86"/>
      <c r="K79" s="87"/>
      <c r="L79" s="91"/>
      <c r="O79" s="6"/>
    </row>
    <row r="80" spans="1:15">
      <c r="A80" s="98">
        <v>20</v>
      </c>
      <c r="B80" s="8" t="str">
        <f t="shared" si="1"/>
        <v>2001</v>
      </c>
      <c r="C80" s="10">
        <v>22</v>
      </c>
      <c r="D80" s="9">
        <v>23</v>
      </c>
      <c r="E80" s="9">
        <v>24</v>
      </c>
      <c r="F80" s="9">
        <v>25</v>
      </c>
      <c r="G80" s="9">
        <v>38</v>
      </c>
      <c r="H80" s="11">
        <v>39</v>
      </c>
      <c r="I80" s="9">
        <v>40</v>
      </c>
      <c r="J80" s="9">
        <v>41</v>
      </c>
      <c r="K80" s="9">
        <v>42</v>
      </c>
      <c r="L80" s="91"/>
      <c r="O80" s="6"/>
    </row>
    <row r="81" spans="1:19">
      <c r="A81" s="106"/>
      <c r="B81" s="8" t="str">
        <f t="shared" si="1"/>
        <v>2002</v>
      </c>
      <c r="C81" s="10">
        <v>26</v>
      </c>
      <c r="D81" s="10">
        <v>27</v>
      </c>
      <c r="E81" s="10">
        <v>28</v>
      </c>
      <c r="F81" s="10">
        <v>29</v>
      </c>
      <c r="G81" s="82"/>
      <c r="H81" s="83"/>
      <c r="I81" s="83"/>
      <c r="J81" s="83"/>
      <c r="K81" s="84"/>
      <c r="L81" s="91"/>
      <c r="O81" s="6"/>
    </row>
    <row r="82" spans="1:19">
      <c r="A82" s="106"/>
      <c r="B82" s="8" t="str">
        <f t="shared" si="1"/>
        <v>2003</v>
      </c>
      <c r="C82" s="9">
        <v>30</v>
      </c>
      <c r="D82" s="9">
        <v>31</v>
      </c>
      <c r="E82" s="9">
        <v>32</v>
      </c>
      <c r="F82" s="9">
        <v>33</v>
      </c>
      <c r="G82" s="107"/>
      <c r="H82" s="108"/>
      <c r="I82" s="108"/>
      <c r="J82" s="108"/>
      <c r="K82" s="109"/>
      <c r="L82" s="91"/>
      <c r="O82" s="6"/>
    </row>
    <row r="83" spans="1:19">
      <c r="A83" s="99"/>
      <c r="B83" s="8" t="str">
        <f t="shared" si="1"/>
        <v>2004</v>
      </c>
      <c r="C83" s="9">
        <v>34</v>
      </c>
      <c r="D83" s="9">
        <v>35</v>
      </c>
      <c r="E83" s="9">
        <v>36</v>
      </c>
      <c r="F83" s="9">
        <v>37</v>
      </c>
      <c r="G83" s="85"/>
      <c r="H83" s="86"/>
      <c r="I83" s="86"/>
      <c r="J83" s="86"/>
      <c r="K83" s="87"/>
      <c r="L83" s="91"/>
      <c r="O83" s="6"/>
    </row>
    <row r="84" spans="1:19">
      <c r="A84" s="98">
        <v>21</v>
      </c>
      <c r="B84" s="8" t="str">
        <f t="shared" si="1"/>
        <v>2101</v>
      </c>
      <c r="C84" s="9">
        <v>43</v>
      </c>
      <c r="D84" s="9">
        <v>44</v>
      </c>
      <c r="E84" s="9">
        <v>45</v>
      </c>
      <c r="F84" s="9">
        <v>46</v>
      </c>
      <c r="G84" s="9">
        <v>59</v>
      </c>
      <c r="H84" s="9">
        <v>60</v>
      </c>
      <c r="I84" s="9">
        <v>61</v>
      </c>
      <c r="J84" s="9">
        <v>62</v>
      </c>
      <c r="K84" s="9">
        <v>63</v>
      </c>
      <c r="L84" s="91"/>
      <c r="O84" s="6"/>
    </row>
    <row r="85" spans="1:19">
      <c r="A85" s="106"/>
      <c r="B85" s="8" t="str">
        <f t="shared" si="1"/>
        <v>2102</v>
      </c>
      <c r="C85" s="9">
        <v>47</v>
      </c>
      <c r="D85" s="9">
        <v>48</v>
      </c>
      <c r="E85" s="9">
        <v>49</v>
      </c>
      <c r="F85" s="9">
        <v>50</v>
      </c>
      <c r="G85" s="82"/>
      <c r="H85" s="83"/>
      <c r="I85" s="83"/>
      <c r="J85" s="83"/>
      <c r="K85" s="84"/>
      <c r="L85" s="91"/>
      <c r="O85" s="6"/>
    </row>
    <row r="86" spans="1:19">
      <c r="A86" s="106"/>
      <c r="B86" s="8" t="str">
        <f t="shared" si="1"/>
        <v>2103</v>
      </c>
      <c r="C86" s="9">
        <v>51</v>
      </c>
      <c r="D86" s="9">
        <v>52</v>
      </c>
      <c r="E86" s="9">
        <v>53</v>
      </c>
      <c r="F86" s="9">
        <v>54</v>
      </c>
      <c r="G86" s="107"/>
      <c r="H86" s="108"/>
      <c r="I86" s="108"/>
      <c r="J86" s="108"/>
      <c r="K86" s="109"/>
      <c r="L86" s="91"/>
    </row>
    <row r="87" spans="1:19">
      <c r="A87" s="99"/>
      <c r="B87" s="8" t="str">
        <f t="shared" si="1"/>
        <v>2104</v>
      </c>
      <c r="C87" s="9">
        <v>55</v>
      </c>
      <c r="D87" s="9">
        <v>56</v>
      </c>
      <c r="E87" s="11">
        <v>57</v>
      </c>
      <c r="F87" s="9">
        <v>58</v>
      </c>
      <c r="G87" s="85"/>
      <c r="H87" s="86"/>
      <c r="I87" s="86"/>
      <c r="J87" s="86"/>
      <c r="K87" s="87"/>
      <c r="L87" s="91"/>
    </row>
    <row r="88" spans="1:19">
      <c r="A88" s="98">
        <v>22</v>
      </c>
      <c r="B88" s="8" t="str">
        <f t="shared" si="1"/>
        <v>2201</v>
      </c>
      <c r="C88" s="10">
        <v>64</v>
      </c>
      <c r="D88" s="9">
        <v>65</v>
      </c>
      <c r="E88" s="9">
        <v>66</v>
      </c>
      <c r="F88" s="9">
        <v>67</v>
      </c>
      <c r="G88" s="11">
        <v>80</v>
      </c>
      <c r="H88" s="9">
        <v>81</v>
      </c>
      <c r="I88" s="9">
        <v>82</v>
      </c>
      <c r="J88" s="9">
        <v>84</v>
      </c>
      <c r="K88" s="9">
        <v>85</v>
      </c>
      <c r="L88" s="91"/>
      <c r="N88" s="6"/>
    </row>
    <row r="89" spans="1:19">
      <c r="A89" s="106"/>
      <c r="B89" s="8" t="str">
        <f t="shared" si="1"/>
        <v>2202</v>
      </c>
      <c r="C89" s="9">
        <v>68</v>
      </c>
      <c r="D89" s="11">
        <v>69</v>
      </c>
      <c r="E89" s="9">
        <v>70</v>
      </c>
      <c r="F89" s="9">
        <v>71</v>
      </c>
      <c r="G89" s="82"/>
      <c r="H89" s="83"/>
      <c r="I89" s="83"/>
      <c r="J89" s="83"/>
      <c r="K89" s="84"/>
      <c r="L89" s="91"/>
      <c r="N89" s="6"/>
    </row>
    <row r="90" spans="1:19">
      <c r="A90" s="106"/>
      <c r="B90" s="8" t="str">
        <f t="shared" si="1"/>
        <v>2203</v>
      </c>
      <c r="C90" s="9">
        <v>72</v>
      </c>
      <c r="D90" s="9">
        <v>73</v>
      </c>
      <c r="E90" s="9">
        <v>74</v>
      </c>
      <c r="F90" s="9">
        <v>75</v>
      </c>
      <c r="G90" s="107"/>
      <c r="H90" s="108"/>
      <c r="I90" s="108"/>
      <c r="J90" s="108"/>
      <c r="K90" s="109"/>
      <c r="L90" s="91"/>
      <c r="N90" s="6"/>
    </row>
    <row r="91" spans="1:19">
      <c r="A91" s="99"/>
      <c r="B91" s="8" t="str">
        <f t="shared" si="1"/>
        <v>2204</v>
      </c>
      <c r="C91" s="9">
        <v>76</v>
      </c>
      <c r="D91" s="9">
        <v>77</v>
      </c>
      <c r="E91" s="9">
        <v>78</v>
      </c>
      <c r="F91" s="9">
        <v>79</v>
      </c>
      <c r="G91" s="85"/>
      <c r="H91" s="86"/>
      <c r="I91" s="86"/>
      <c r="J91" s="86"/>
      <c r="K91" s="87"/>
      <c r="L91" s="91"/>
      <c r="N91" s="6"/>
    </row>
    <row r="92" spans="1:19">
      <c r="A92" s="98">
        <v>23</v>
      </c>
      <c r="B92" s="8" t="str">
        <f t="shared" si="1"/>
        <v>2301</v>
      </c>
      <c r="C92" s="9">
        <v>1</v>
      </c>
      <c r="D92" s="9">
        <v>2</v>
      </c>
      <c r="E92" s="9">
        <v>3</v>
      </c>
      <c r="F92" s="9">
        <v>4</v>
      </c>
      <c r="G92" s="9">
        <v>17</v>
      </c>
      <c r="H92" s="9">
        <v>18</v>
      </c>
      <c r="I92" s="9">
        <v>19</v>
      </c>
      <c r="J92" s="9">
        <v>20</v>
      </c>
      <c r="K92" s="20">
        <v>21</v>
      </c>
      <c r="L92" s="91" t="s">
        <v>22</v>
      </c>
      <c r="N92" s="6"/>
      <c r="S92" s="18"/>
    </row>
    <row r="93" spans="1:19">
      <c r="A93" s="106"/>
      <c r="B93" s="8" t="str">
        <f t="shared" si="1"/>
        <v>2302</v>
      </c>
      <c r="C93" s="9">
        <v>5</v>
      </c>
      <c r="D93" s="9">
        <v>6</v>
      </c>
      <c r="E93" s="9">
        <v>7</v>
      </c>
      <c r="F93" s="9">
        <v>8</v>
      </c>
      <c r="G93" s="82"/>
      <c r="H93" s="83"/>
      <c r="I93" s="83"/>
      <c r="J93" s="83"/>
      <c r="K93" s="83"/>
      <c r="L93" s="91"/>
      <c r="N93" s="6"/>
    </row>
    <row r="94" spans="1:19">
      <c r="A94" s="106"/>
      <c r="B94" s="8" t="str">
        <f t="shared" si="1"/>
        <v>2303</v>
      </c>
      <c r="C94" s="9">
        <v>9</v>
      </c>
      <c r="D94" s="9">
        <v>10</v>
      </c>
      <c r="E94" s="9">
        <v>11</v>
      </c>
      <c r="F94" s="11">
        <v>12</v>
      </c>
      <c r="G94" s="107"/>
      <c r="H94" s="108"/>
      <c r="I94" s="108"/>
      <c r="J94" s="108"/>
      <c r="K94" s="108"/>
      <c r="L94" s="91"/>
      <c r="N94" s="6"/>
    </row>
    <row r="95" spans="1:19">
      <c r="A95" s="99"/>
      <c r="B95" s="8" t="str">
        <f t="shared" si="1"/>
        <v>2304</v>
      </c>
      <c r="C95" s="9">
        <v>13</v>
      </c>
      <c r="D95" s="9">
        <v>14</v>
      </c>
      <c r="E95" s="9">
        <v>15</v>
      </c>
      <c r="F95" s="9">
        <v>16</v>
      </c>
      <c r="G95" s="85"/>
      <c r="H95" s="86"/>
      <c r="I95" s="86"/>
      <c r="J95" s="86"/>
      <c r="K95" s="86"/>
      <c r="L95" s="91"/>
      <c r="N95" s="6"/>
    </row>
    <row r="96" spans="1:19">
      <c r="A96" s="98">
        <v>24</v>
      </c>
      <c r="B96" s="8" t="str">
        <f t="shared" si="1"/>
        <v>2401</v>
      </c>
      <c r="C96" s="9">
        <v>22</v>
      </c>
      <c r="D96" s="9">
        <v>23</v>
      </c>
      <c r="E96" s="9">
        <v>24</v>
      </c>
      <c r="F96" s="9">
        <v>25</v>
      </c>
      <c r="G96" s="9">
        <v>38</v>
      </c>
      <c r="H96" s="11">
        <v>39</v>
      </c>
      <c r="I96" s="9">
        <v>40</v>
      </c>
      <c r="J96" s="9">
        <v>41</v>
      </c>
      <c r="K96" s="20">
        <v>42</v>
      </c>
      <c r="L96" s="91"/>
      <c r="N96" s="6"/>
    </row>
    <row r="97" spans="1:15">
      <c r="A97" s="106"/>
      <c r="B97" s="8" t="str">
        <f t="shared" si="1"/>
        <v>2402</v>
      </c>
      <c r="C97" s="9">
        <v>26</v>
      </c>
      <c r="D97" s="9">
        <v>27</v>
      </c>
      <c r="E97" s="9">
        <v>28</v>
      </c>
      <c r="F97" s="9">
        <v>29</v>
      </c>
      <c r="G97" s="82"/>
      <c r="H97" s="83"/>
      <c r="I97" s="83"/>
      <c r="J97" s="83"/>
      <c r="K97" s="83"/>
      <c r="L97" s="91"/>
      <c r="N97" s="6"/>
    </row>
    <row r="98" spans="1:15">
      <c r="A98" s="106"/>
      <c r="B98" s="8" t="str">
        <f t="shared" si="1"/>
        <v>2403</v>
      </c>
      <c r="C98" s="9">
        <v>30</v>
      </c>
      <c r="D98" s="9">
        <v>31</v>
      </c>
      <c r="E98" s="9">
        <v>32</v>
      </c>
      <c r="F98" s="9">
        <v>33</v>
      </c>
      <c r="G98" s="107"/>
      <c r="H98" s="108"/>
      <c r="I98" s="108"/>
      <c r="J98" s="108"/>
      <c r="K98" s="108"/>
      <c r="L98" s="91"/>
      <c r="N98" s="6"/>
      <c r="O98" s="6"/>
    </row>
    <row r="99" spans="1:15">
      <c r="A99" s="99"/>
      <c r="B99" s="8" t="str">
        <f t="shared" si="1"/>
        <v>2404</v>
      </c>
      <c r="C99" s="9">
        <v>34</v>
      </c>
      <c r="D99" s="9">
        <v>35</v>
      </c>
      <c r="E99" s="9">
        <v>36</v>
      </c>
      <c r="F99" s="9">
        <v>37</v>
      </c>
      <c r="G99" s="85"/>
      <c r="H99" s="86"/>
      <c r="I99" s="86"/>
      <c r="J99" s="86"/>
      <c r="K99" s="86"/>
      <c r="L99" s="91"/>
      <c r="N99" s="6"/>
      <c r="O99" s="6"/>
    </row>
    <row r="100" spans="1:15">
      <c r="A100" s="98">
        <v>25</v>
      </c>
      <c r="B100" s="8" t="str">
        <f t="shared" si="1"/>
        <v>2501</v>
      </c>
      <c r="C100" s="11">
        <v>43</v>
      </c>
      <c r="D100" s="11">
        <v>44</v>
      </c>
      <c r="E100" s="9">
        <v>45</v>
      </c>
      <c r="F100" s="11">
        <v>46</v>
      </c>
      <c r="G100" s="9">
        <v>59</v>
      </c>
      <c r="H100" s="11">
        <v>60</v>
      </c>
      <c r="I100" s="9">
        <v>61</v>
      </c>
      <c r="J100" s="9">
        <v>62</v>
      </c>
      <c r="K100" s="20">
        <v>63</v>
      </c>
      <c r="L100" s="91"/>
      <c r="O100" s="6"/>
    </row>
    <row r="101" spans="1:15">
      <c r="A101" s="106"/>
      <c r="B101" s="8" t="str">
        <f t="shared" si="1"/>
        <v>2502</v>
      </c>
      <c r="C101" s="9">
        <v>47</v>
      </c>
      <c r="D101" s="9">
        <v>48</v>
      </c>
      <c r="E101" s="9">
        <v>49</v>
      </c>
      <c r="F101" s="9">
        <v>50</v>
      </c>
      <c r="G101" s="82"/>
      <c r="H101" s="83"/>
      <c r="I101" s="83"/>
      <c r="J101" s="83"/>
      <c r="K101" s="83"/>
      <c r="L101" s="91"/>
      <c r="O101" s="6"/>
    </row>
    <row r="102" spans="1:15">
      <c r="A102" s="106"/>
      <c r="B102" s="8" t="str">
        <f t="shared" si="1"/>
        <v>2503</v>
      </c>
      <c r="C102" s="9">
        <v>51</v>
      </c>
      <c r="D102" s="9">
        <v>52</v>
      </c>
      <c r="E102" s="9">
        <v>53</v>
      </c>
      <c r="F102" s="9">
        <v>54</v>
      </c>
      <c r="G102" s="107"/>
      <c r="H102" s="108"/>
      <c r="I102" s="108"/>
      <c r="J102" s="108"/>
      <c r="K102" s="108"/>
      <c r="L102" s="91"/>
      <c r="O102" s="6"/>
    </row>
    <row r="103" spans="1:15">
      <c r="A103" s="99"/>
      <c r="B103" s="8" t="str">
        <f t="shared" si="1"/>
        <v>2504</v>
      </c>
      <c r="C103" s="11">
        <v>55</v>
      </c>
      <c r="D103" s="11">
        <v>56</v>
      </c>
      <c r="E103" s="9">
        <v>57</v>
      </c>
      <c r="F103" s="9">
        <v>58</v>
      </c>
      <c r="G103" s="85"/>
      <c r="H103" s="86"/>
      <c r="I103" s="86"/>
      <c r="J103" s="86"/>
      <c r="K103" s="86"/>
      <c r="L103" s="91"/>
      <c r="O103" s="6"/>
    </row>
    <row r="104" spans="1:15">
      <c r="A104" s="6"/>
    </row>
    <row r="105" spans="1:15">
      <c r="A105" s="6"/>
    </row>
    <row r="106" spans="1:15">
      <c r="A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</sheetData>
  <mergeCells count="78">
    <mergeCell ref="L92:L103"/>
    <mergeCell ref="A92:A95"/>
    <mergeCell ref="G93:K95"/>
    <mergeCell ref="A96:A99"/>
    <mergeCell ref="G97:K99"/>
    <mergeCell ref="A100:A103"/>
    <mergeCell ref="G101:K103"/>
    <mergeCell ref="A76:A79"/>
    <mergeCell ref="L76:L91"/>
    <mergeCell ref="G77:K79"/>
    <mergeCell ref="A80:A83"/>
    <mergeCell ref="G81:K83"/>
    <mergeCell ref="A84:A87"/>
    <mergeCell ref="G85:K87"/>
    <mergeCell ref="A88:A91"/>
    <mergeCell ref="G89:K91"/>
    <mergeCell ref="A64:A67"/>
    <mergeCell ref="L64:L75"/>
    <mergeCell ref="G65:K67"/>
    <mergeCell ref="A68:A71"/>
    <mergeCell ref="G69:K71"/>
    <mergeCell ref="A72:A75"/>
    <mergeCell ref="G73:K75"/>
    <mergeCell ref="G49:K51"/>
    <mergeCell ref="A52:A55"/>
    <mergeCell ref="L52:L63"/>
    <mergeCell ref="G53:K55"/>
    <mergeCell ref="A56:A59"/>
    <mergeCell ref="G57:K59"/>
    <mergeCell ref="A60:A63"/>
    <mergeCell ref="G61:K63"/>
    <mergeCell ref="A28:A31"/>
    <mergeCell ref="L28:L39"/>
    <mergeCell ref="G29:K31"/>
    <mergeCell ref="S29:S32"/>
    <mergeCell ref="A32:A35"/>
    <mergeCell ref="G33:K35"/>
    <mergeCell ref="S34:S37"/>
    <mergeCell ref="A36:A39"/>
    <mergeCell ref="G37:K39"/>
    <mergeCell ref="S39:S42"/>
    <mergeCell ref="A40:A43"/>
    <mergeCell ref="L40:L51"/>
    <mergeCell ref="G41:K43"/>
    <mergeCell ref="A44:A47"/>
    <mergeCell ref="G45:K47"/>
    <mergeCell ref="A48:A51"/>
    <mergeCell ref="A20:A23"/>
    <mergeCell ref="G21:K23"/>
    <mergeCell ref="A24:A27"/>
    <mergeCell ref="S24:S27"/>
    <mergeCell ref="G25:K27"/>
    <mergeCell ref="O3:P3"/>
    <mergeCell ref="A4:A7"/>
    <mergeCell ref="L4:L15"/>
    <mergeCell ref="N4:N7"/>
    <mergeCell ref="S4:S7"/>
    <mergeCell ref="G5:K7"/>
    <mergeCell ref="A8:A11"/>
    <mergeCell ref="G9:K11"/>
    <mergeCell ref="S9:S12"/>
    <mergeCell ref="A12:A15"/>
    <mergeCell ref="G13:K15"/>
    <mergeCell ref="S14:S17"/>
    <mergeCell ref="A16:A19"/>
    <mergeCell ref="L16:L27"/>
    <mergeCell ref="G17:K19"/>
    <mergeCell ref="S19:S22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</mergeCells>
  <conditionalFormatting sqref="F10">
    <cfRule type="cellIs" dxfId="214" priority="16" operator="equal">
      <formula>"Ногоон"</formula>
    </cfRule>
    <cfRule type="cellIs" dxfId="213" priority="17" operator="equal">
      <formula>"Улаан"</formula>
    </cfRule>
  </conditionalFormatting>
  <conditionalFormatting sqref="C4:K4 C8:K8 C5:G5 C6:F7 C12:K12 C9:G9 C10:F11 C100:K100 C13:G13 C14:F15 C16:K16 C20:K20 C17:G17 C18:F19 C24:K24 C21:G21 C22:F23 C25:G25 C26:F27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 C101:G101 C102:F103">
    <cfRule type="cellIs" dxfId="212" priority="15" operator="equal">
      <formula>"Улаан"</formula>
    </cfRule>
  </conditionalFormatting>
  <conditionalFormatting sqref="F22">
    <cfRule type="cellIs" dxfId="211" priority="13" operator="equal">
      <formula>"Ногоон"</formula>
    </cfRule>
    <cfRule type="cellIs" dxfId="210" priority="14" operator="equal">
      <formula>"Улаан"</formula>
    </cfRule>
  </conditionalFormatting>
  <conditionalFormatting sqref="F34">
    <cfRule type="cellIs" dxfId="209" priority="11" operator="equal">
      <formula>"Ногоон"</formula>
    </cfRule>
    <cfRule type="cellIs" dxfId="208" priority="12" operator="equal">
      <formula>"Улаан"</formula>
    </cfRule>
  </conditionalFormatting>
  <conditionalFormatting sqref="F46">
    <cfRule type="cellIs" dxfId="207" priority="9" operator="equal">
      <formula>"Ногоон"</formula>
    </cfRule>
    <cfRule type="cellIs" dxfId="206" priority="10" operator="equal">
      <formula>"Улаан"</formula>
    </cfRule>
  </conditionalFormatting>
  <conditionalFormatting sqref="F58">
    <cfRule type="cellIs" dxfId="205" priority="7" operator="equal">
      <formula>"Ногоон"</formula>
    </cfRule>
    <cfRule type="cellIs" dxfId="204" priority="8" operator="equal">
      <formula>"Улаан"</formula>
    </cfRule>
  </conditionalFormatting>
  <conditionalFormatting sqref="F70">
    <cfRule type="cellIs" dxfId="203" priority="5" operator="equal">
      <formula>"Ногоон"</formula>
    </cfRule>
    <cfRule type="cellIs" dxfId="202" priority="6" operator="equal">
      <formula>"Улаан"</formula>
    </cfRule>
  </conditionalFormatting>
  <conditionalFormatting sqref="F82">
    <cfRule type="cellIs" dxfId="201" priority="3" operator="equal">
      <formula>"Ногоон"</formula>
    </cfRule>
    <cfRule type="cellIs" dxfId="200" priority="4" operator="equal">
      <formula>"Улаан"</formula>
    </cfRule>
  </conditionalFormatting>
  <conditionalFormatting sqref="F94">
    <cfRule type="cellIs" dxfId="199" priority="1" operator="equal">
      <formula>"Ногоон"</formula>
    </cfRule>
    <cfRule type="cellIs" dxfId="198" priority="2" operator="equal">
      <formula>"Улаан"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D9281-5425-45DC-95B4-7C139BE27FFD}">
  <dimension ref="A1:W152"/>
  <sheetViews>
    <sheetView topLeftCell="J21" workbookViewId="0">
      <selection activeCell="V43" sqref="V43"/>
    </sheetView>
  </sheetViews>
  <sheetFormatPr defaultRowHeight="15"/>
  <cols>
    <col min="14" max="14" width="10.28515625" bestFit="1" customWidth="1"/>
  </cols>
  <sheetData>
    <row r="1" spans="1:23">
      <c r="A1" s="77">
        <v>213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  <c r="V1" s="3"/>
      <c r="W1" s="2"/>
    </row>
    <row r="2" spans="1:23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  <c r="V2" s="2"/>
      <c r="W2" s="2"/>
    </row>
    <row r="3" spans="1:23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  <c r="V3" s="2"/>
      <c r="W3" s="2"/>
    </row>
    <row r="4" spans="1:23">
      <c r="A4" s="98">
        <v>1</v>
      </c>
      <c r="B4" s="8" t="str">
        <f>INT((ROW()-4)/4)+1 &amp; TEXT(MOD(ROW()-4,4)+1,"00")</f>
        <v>101</v>
      </c>
      <c r="C4" s="9">
        <v>1</v>
      </c>
      <c r="D4" s="9">
        <v>2</v>
      </c>
      <c r="E4" s="9">
        <v>3</v>
      </c>
      <c r="F4" s="11">
        <v>4</v>
      </c>
      <c r="G4" s="9">
        <v>17</v>
      </c>
      <c r="H4" s="9">
        <v>18</v>
      </c>
      <c r="I4" s="9">
        <v>19</v>
      </c>
      <c r="J4" s="9">
        <v>20</v>
      </c>
      <c r="K4" s="9">
        <v>21</v>
      </c>
      <c r="L4" s="91" t="s">
        <v>9</v>
      </c>
      <c r="N4" s="92">
        <v>46000</v>
      </c>
      <c r="O4" s="12" t="s">
        <v>10</v>
      </c>
      <c r="P4" s="13">
        <f>SUM(P5:P7)</f>
        <v>525</v>
      </c>
      <c r="Q4" s="73">
        <v>1</v>
      </c>
      <c r="S4" s="92" t="s">
        <v>9</v>
      </c>
      <c r="T4" s="12" t="s">
        <v>10</v>
      </c>
      <c r="U4" s="13">
        <f>SUM(U5:U7)</f>
        <v>63</v>
      </c>
      <c r="V4" s="73">
        <v>1</v>
      </c>
    </row>
    <row r="5" spans="1:23">
      <c r="A5" s="106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9">
        <v>7</v>
      </c>
      <c r="F5" s="9">
        <v>8</v>
      </c>
      <c r="G5" s="82"/>
      <c r="H5" s="83"/>
      <c r="I5" s="83"/>
      <c r="J5" s="83"/>
      <c r="K5" s="84"/>
      <c r="L5" s="91"/>
      <c r="N5" s="93"/>
      <c r="O5" s="14" t="s">
        <v>11</v>
      </c>
      <c r="P5" s="13" cm="1">
        <f t="array" ref="P5">CountByColor(C4:K103, O5)</f>
        <v>33</v>
      </c>
      <c r="Q5" s="74">
        <v>6.2899999999999998E-2</v>
      </c>
      <c r="S5" s="93"/>
      <c r="T5" s="14" t="s">
        <v>11</v>
      </c>
      <c r="U5" s="13" cm="1">
        <f t="array" ref="U5">CountByColor(C4:K15, T5)</f>
        <v>6</v>
      </c>
      <c r="V5" s="74">
        <v>9.5200000000000007E-2</v>
      </c>
    </row>
    <row r="6" spans="1:23">
      <c r="A6" s="106"/>
      <c r="B6" s="8" t="str">
        <f t="shared" si="0"/>
        <v>103</v>
      </c>
      <c r="C6" s="9">
        <v>9</v>
      </c>
      <c r="D6" s="9">
        <v>10</v>
      </c>
      <c r="E6" s="9">
        <v>11</v>
      </c>
      <c r="F6" s="9">
        <v>12</v>
      </c>
      <c r="G6" s="107"/>
      <c r="H6" s="108"/>
      <c r="I6" s="108"/>
      <c r="J6" s="108"/>
      <c r="K6" s="109"/>
      <c r="L6" s="91"/>
      <c r="N6" s="93"/>
      <c r="O6" s="15" t="s">
        <v>12</v>
      </c>
      <c r="P6" s="13" cm="1">
        <f t="array" ref="P6">CountByColor(C4:K103, O6)</f>
        <v>45</v>
      </c>
      <c r="Q6" s="74">
        <v>8.5699999999999998E-2</v>
      </c>
      <c r="S6" s="93"/>
      <c r="T6" s="15" t="s">
        <v>12</v>
      </c>
      <c r="U6" s="13" cm="1">
        <f t="array" ref="U6">CountByColor(C4:K15, T6)</f>
        <v>1</v>
      </c>
      <c r="V6" s="74">
        <v>1.5900000000000001E-2</v>
      </c>
    </row>
    <row r="7" spans="1:23">
      <c r="A7" s="99"/>
      <c r="B7" s="8" t="str">
        <f t="shared" si="0"/>
        <v>104</v>
      </c>
      <c r="C7" s="9">
        <v>13</v>
      </c>
      <c r="D7" s="9">
        <v>14</v>
      </c>
      <c r="E7" s="9">
        <v>15</v>
      </c>
      <c r="F7" s="9">
        <v>16</v>
      </c>
      <c r="G7" s="85"/>
      <c r="H7" s="86"/>
      <c r="I7" s="86"/>
      <c r="J7" s="86"/>
      <c r="K7" s="87"/>
      <c r="L7" s="91"/>
      <c r="N7" s="94"/>
      <c r="O7" s="16" t="s">
        <v>13</v>
      </c>
      <c r="P7" s="13" cm="1">
        <f t="array" ref="P7">CountByColor(C4:K103, O7)</f>
        <v>447</v>
      </c>
      <c r="Q7" s="74">
        <v>0.85140000000000005</v>
      </c>
      <c r="S7" s="94"/>
      <c r="T7" s="16" t="s">
        <v>13</v>
      </c>
      <c r="U7" s="13" cm="1">
        <f t="array" ref="U7">CountByColor(C4:K15, T7)</f>
        <v>56</v>
      </c>
      <c r="V7" s="74">
        <v>0.88890000000000002</v>
      </c>
    </row>
    <row r="8" spans="1:23">
      <c r="A8" s="98">
        <v>2</v>
      </c>
      <c r="B8" s="8" t="str">
        <f t="shared" si="0"/>
        <v>201</v>
      </c>
      <c r="C8" s="9">
        <v>22</v>
      </c>
      <c r="D8" s="9">
        <v>23</v>
      </c>
      <c r="E8" s="9">
        <v>24</v>
      </c>
      <c r="F8" s="9">
        <v>25</v>
      </c>
      <c r="G8" s="9">
        <v>38</v>
      </c>
      <c r="H8" s="9">
        <v>39</v>
      </c>
      <c r="I8" s="9">
        <v>40</v>
      </c>
      <c r="J8" s="9">
        <v>41</v>
      </c>
      <c r="K8" s="9">
        <v>42</v>
      </c>
      <c r="L8" s="91"/>
      <c r="N8" s="21"/>
      <c r="T8" s="1"/>
      <c r="U8" s="1"/>
    </row>
    <row r="9" spans="1:23">
      <c r="A9" s="106"/>
      <c r="B9" s="8" t="str">
        <f t="shared" si="0"/>
        <v>202</v>
      </c>
      <c r="C9" s="9">
        <v>26</v>
      </c>
      <c r="D9" s="9">
        <v>27</v>
      </c>
      <c r="E9" s="9">
        <v>28</v>
      </c>
      <c r="F9" s="9">
        <v>29</v>
      </c>
      <c r="G9" s="82"/>
      <c r="H9" s="83"/>
      <c r="I9" s="83"/>
      <c r="J9" s="83"/>
      <c r="K9" s="84"/>
      <c r="L9" s="91"/>
      <c r="S9" s="92" t="s">
        <v>14</v>
      </c>
      <c r="T9" s="12" t="s">
        <v>10</v>
      </c>
      <c r="U9" s="13">
        <f>SUM(U10:U12)</f>
        <v>63</v>
      </c>
      <c r="V9" s="73">
        <v>1</v>
      </c>
    </row>
    <row r="10" spans="1:23">
      <c r="A10" s="106"/>
      <c r="B10" s="8" t="str">
        <f t="shared" si="0"/>
        <v>203</v>
      </c>
      <c r="C10" s="10">
        <v>30</v>
      </c>
      <c r="D10" s="9">
        <v>31</v>
      </c>
      <c r="E10" s="9">
        <v>32</v>
      </c>
      <c r="F10" s="9">
        <v>33</v>
      </c>
      <c r="G10" s="107"/>
      <c r="H10" s="108"/>
      <c r="I10" s="108"/>
      <c r="J10" s="108"/>
      <c r="K10" s="109"/>
      <c r="L10" s="91"/>
      <c r="S10" s="93"/>
      <c r="T10" s="14" t="s">
        <v>11</v>
      </c>
      <c r="U10" s="13" cm="1">
        <f t="array" ref="U10">CountByColor(C16:K27, T10)</f>
        <v>2</v>
      </c>
      <c r="V10" s="74">
        <v>3.1699999999999999E-2</v>
      </c>
    </row>
    <row r="11" spans="1:23">
      <c r="A11" s="99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85"/>
      <c r="H11" s="86"/>
      <c r="I11" s="86"/>
      <c r="J11" s="86"/>
      <c r="K11" s="87"/>
      <c r="L11" s="91"/>
      <c r="S11" s="93"/>
      <c r="T11" s="15" t="s">
        <v>12</v>
      </c>
      <c r="U11" s="13" cm="1">
        <f t="array" ref="U11">CountByColor(C16:K27, T11)</f>
        <v>2</v>
      </c>
      <c r="V11" s="74">
        <v>3.1699999999999999E-2</v>
      </c>
    </row>
    <row r="12" spans="1:23">
      <c r="A12" s="98">
        <v>3</v>
      </c>
      <c r="B12" s="8" t="str">
        <f t="shared" si="0"/>
        <v>301</v>
      </c>
      <c r="C12" s="9">
        <v>43</v>
      </c>
      <c r="D12" s="9">
        <v>44</v>
      </c>
      <c r="E12" s="9">
        <v>45</v>
      </c>
      <c r="F12" s="11">
        <v>46</v>
      </c>
      <c r="G12" s="9">
        <v>59</v>
      </c>
      <c r="H12" s="9">
        <v>60</v>
      </c>
      <c r="I12" s="9">
        <v>61</v>
      </c>
      <c r="J12" s="9">
        <v>62</v>
      </c>
      <c r="K12" s="9">
        <v>63</v>
      </c>
      <c r="L12" s="91"/>
      <c r="S12" s="94"/>
      <c r="T12" s="16" t="s">
        <v>13</v>
      </c>
      <c r="U12" s="13" cm="1">
        <f t="array" ref="U12">CountByColor(C16:K27, T12)</f>
        <v>59</v>
      </c>
      <c r="V12" s="74">
        <v>0.9365</v>
      </c>
    </row>
    <row r="13" spans="1:23">
      <c r="A13" s="106"/>
      <c r="B13" s="8" t="str">
        <f t="shared" si="0"/>
        <v>302</v>
      </c>
      <c r="C13" s="11">
        <v>47</v>
      </c>
      <c r="D13" s="9">
        <v>48</v>
      </c>
      <c r="E13" s="9">
        <v>49</v>
      </c>
      <c r="F13" s="9">
        <v>50</v>
      </c>
      <c r="G13" s="82"/>
      <c r="H13" s="83"/>
      <c r="I13" s="83"/>
      <c r="J13" s="83"/>
      <c r="K13" s="84"/>
      <c r="L13" s="91"/>
      <c r="S13" s="1"/>
    </row>
    <row r="14" spans="1:23">
      <c r="A14" s="106"/>
      <c r="B14" s="8" t="str">
        <f t="shared" si="0"/>
        <v>303</v>
      </c>
      <c r="C14" s="9">
        <v>51</v>
      </c>
      <c r="D14" s="9">
        <v>52</v>
      </c>
      <c r="E14" s="9">
        <v>53</v>
      </c>
      <c r="F14" s="9">
        <v>54</v>
      </c>
      <c r="G14" s="107"/>
      <c r="H14" s="108"/>
      <c r="I14" s="108"/>
      <c r="J14" s="108"/>
      <c r="K14" s="109"/>
      <c r="L14" s="91"/>
      <c r="S14" s="92" t="s">
        <v>15</v>
      </c>
      <c r="T14" s="12" t="s">
        <v>10</v>
      </c>
      <c r="U14" s="13">
        <f>SUM(U15:U17)</f>
        <v>63</v>
      </c>
      <c r="V14" s="73">
        <v>1</v>
      </c>
    </row>
    <row r="15" spans="1:23">
      <c r="A15" s="99"/>
      <c r="B15" s="8" t="str">
        <f t="shared" si="0"/>
        <v>304</v>
      </c>
      <c r="C15" s="11">
        <v>55</v>
      </c>
      <c r="D15" s="9">
        <v>56</v>
      </c>
      <c r="E15" s="11">
        <v>57</v>
      </c>
      <c r="F15" s="11">
        <v>58</v>
      </c>
      <c r="G15" s="85"/>
      <c r="H15" s="86"/>
      <c r="I15" s="86"/>
      <c r="J15" s="86"/>
      <c r="K15" s="87"/>
      <c r="L15" s="91"/>
      <c r="S15" s="93"/>
      <c r="T15" s="14" t="s">
        <v>11</v>
      </c>
      <c r="U15" s="13" cm="1">
        <f t="array" ref="U15">CountByColor(C28:K39, T15)</f>
        <v>1</v>
      </c>
      <c r="V15" s="74">
        <v>1.5900000000000001E-2</v>
      </c>
    </row>
    <row r="16" spans="1:23">
      <c r="A16" s="98">
        <v>4</v>
      </c>
      <c r="B16" s="8" t="str">
        <f t="shared" si="0"/>
        <v>401</v>
      </c>
      <c r="C16" s="9">
        <v>1</v>
      </c>
      <c r="D16" s="9">
        <v>2</v>
      </c>
      <c r="E16" s="9">
        <v>3</v>
      </c>
      <c r="F16" s="9">
        <v>4</v>
      </c>
      <c r="G16" s="9">
        <v>17</v>
      </c>
      <c r="H16" s="9">
        <v>18</v>
      </c>
      <c r="I16" s="9">
        <v>19</v>
      </c>
      <c r="J16" s="9">
        <v>20</v>
      </c>
      <c r="K16" s="9">
        <v>21</v>
      </c>
      <c r="L16" s="91" t="s">
        <v>14</v>
      </c>
      <c r="S16" s="93"/>
      <c r="T16" s="15" t="s">
        <v>12</v>
      </c>
      <c r="U16" s="13" cm="1">
        <f t="array" ref="U16">CountByColor(C28:K39, T16)</f>
        <v>7</v>
      </c>
      <c r="V16" s="74">
        <v>0.1111</v>
      </c>
    </row>
    <row r="17" spans="1:23">
      <c r="A17" s="106"/>
      <c r="B17" s="8" t="str">
        <f t="shared" si="0"/>
        <v>402</v>
      </c>
      <c r="C17" s="11">
        <v>5</v>
      </c>
      <c r="D17" s="9">
        <v>6</v>
      </c>
      <c r="E17" s="9">
        <v>7</v>
      </c>
      <c r="F17" s="9">
        <v>8</v>
      </c>
      <c r="G17" s="82"/>
      <c r="H17" s="83"/>
      <c r="I17" s="83"/>
      <c r="J17" s="83"/>
      <c r="K17" s="84"/>
      <c r="L17" s="91"/>
      <c r="S17" s="94"/>
      <c r="T17" s="16" t="s">
        <v>13</v>
      </c>
      <c r="U17" s="13" cm="1">
        <f t="array" ref="U17">CountByColor(C28:K39, T17)</f>
        <v>55</v>
      </c>
      <c r="V17" s="74">
        <v>0.873</v>
      </c>
    </row>
    <row r="18" spans="1:23">
      <c r="A18" s="106"/>
      <c r="B18" s="8" t="str">
        <f t="shared" si="0"/>
        <v>403</v>
      </c>
      <c r="C18" s="9">
        <v>9</v>
      </c>
      <c r="D18" s="9">
        <v>10</v>
      </c>
      <c r="E18" s="9">
        <v>11</v>
      </c>
      <c r="F18" s="9">
        <v>12</v>
      </c>
      <c r="G18" s="107"/>
      <c r="H18" s="108"/>
      <c r="I18" s="108"/>
      <c r="J18" s="108"/>
      <c r="K18" s="109"/>
      <c r="L18" s="91"/>
      <c r="S18" s="1"/>
    </row>
    <row r="19" spans="1:23">
      <c r="A19" s="99"/>
      <c r="B19" s="8" t="str">
        <f t="shared" si="0"/>
        <v>404</v>
      </c>
      <c r="C19" s="9">
        <v>13</v>
      </c>
      <c r="D19" s="9">
        <v>14</v>
      </c>
      <c r="E19" s="9">
        <v>15</v>
      </c>
      <c r="F19" s="9">
        <v>16</v>
      </c>
      <c r="G19" s="85"/>
      <c r="H19" s="86"/>
      <c r="I19" s="86"/>
      <c r="J19" s="86"/>
      <c r="K19" s="87"/>
      <c r="L19" s="91"/>
      <c r="S19" s="92" t="s">
        <v>16</v>
      </c>
      <c r="T19" s="12" t="s">
        <v>10</v>
      </c>
      <c r="U19" s="13">
        <f>SUM(U20:U22)</f>
        <v>63</v>
      </c>
      <c r="V19" s="73">
        <v>1</v>
      </c>
    </row>
    <row r="20" spans="1:23">
      <c r="A20" s="98">
        <v>5</v>
      </c>
      <c r="B20" s="8" t="str">
        <f t="shared" si="0"/>
        <v>501</v>
      </c>
      <c r="C20" s="9">
        <v>22</v>
      </c>
      <c r="D20" s="9">
        <v>23</v>
      </c>
      <c r="E20" s="9">
        <v>24</v>
      </c>
      <c r="F20" s="10">
        <v>25</v>
      </c>
      <c r="G20" s="9">
        <v>38</v>
      </c>
      <c r="H20" s="9">
        <v>39</v>
      </c>
      <c r="I20" s="9">
        <v>40</v>
      </c>
      <c r="J20" s="9">
        <v>41</v>
      </c>
      <c r="K20" s="9">
        <v>42</v>
      </c>
      <c r="L20" s="91"/>
      <c r="S20" s="93"/>
      <c r="T20" s="14" t="s">
        <v>11</v>
      </c>
      <c r="U20" s="13" cm="1">
        <f t="array" ref="U20">CountByColor(C40:K51, T20)</f>
        <v>5</v>
      </c>
      <c r="V20" s="74">
        <v>7.9399999999999998E-2</v>
      </c>
    </row>
    <row r="21" spans="1:23">
      <c r="A21" s="106"/>
      <c r="B21" s="8" t="str">
        <f t="shared" si="0"/>
        <v>502</v>
      </c>
      <c r="C21" s="11">
        <v>26</v>
      </c>
      <c r="D21" s="9">
        <v>27</v>
      </c>
      <c r="E21" s="9">
        <v>28</v>
      </c>
      <c r="F21" s="9">
        <v>29</v>
      </c>
      <c r="G21" s="82"/>
      <c r="H21" s="83"/>
      <c r="I21" s="83"/>
      <c r="J21" s="83"/>
      <c r="K21" s="84"/>
      <c r="L21" s="91"/>
      <c r="R21" s="1"/>
      <c r="S21" s="93"/>
      <c r="T21" s="15" t="s">
        <v>12</v>
      </c>
      <c r="U21" s="13" cm="1">
        <f t="array" ref="U21">CountByColor(C40:K51, T21)</f>
        <v>5</v>
      </c>
      <c r="V21" s="74">
        <v>7.9399999999999998E-2</v>
      </c>
      <c r="W21" s="1"/>
    </row>
    <row r="22" spans="1:23">
      <c r="A22" s="106"/>
      <c r="B22" s="8" t="str">
        <f t="shared" si="0"/>
        <v>503</v>
      </c>
      <c r="C22" s="9">
        <v>30</v>
      </c>
      <c r="D22" s="9">
        <v>31</v>
      </c>
      <c r="E22" s="9">
        <v>32</v>
      </c>
      <c r="F22" s="9">
        <v>33</v>
      </c>
      <c r="G22" s="107"/>
      <c r="H22" s="108"/>
      <c r="I22" s="108"/>
      <c r="J22" s="108"/>
      <c r="K22" s="109"/>
      <c r="L22" s="91"/>
      <c r="S22" s="94"/>
      <c r="T22" s="16" t="s">
        <v>13</v>
      </c>
      <c r="U22" s="13" cm="1">
        <f t="array" ref="U22">CountByColor(C40:K51, T22)</f>
        <v>53</v>
      </c>
      <c r="V22" s="74">
        <v>0.84130000000000005</v>
      </c>
    </row>
    <row r="23" spans="1:23">
      <c r="A23" s="99"/>
      <c r="B23" s="8" t="str">
        <f t="shared" si="0"/>
        <v>504</v>
      </c>
      <c r="C23" s="9">
        <v>34</v>
      </c>
      <c r="D23" s="9">
        <v>35</v>
      </c>
      <c r="E23" s="9">
        <v>36</v>
      </c>
      <c r="F23" s="9">
        <v>37</v>
      </c>
      <c r="G23" s="85"/>
      <c r="H23" s="86"/>
      <c r="I23" s="86"/>
      <c r="J23" s="86"/>
      <c r="K23" s="87"/>
      <c r="L23" s="91"/>
      <c r="S23" s="1"/>
    </row>
    <row r="24" spans="1:23">
      <c r="A24" s="98">
        <v>6</v>
      </c>
      <c r="B24" s="8" t="str">
        <f t="shared" si="0"/>
        <v>601</v>
      </c>
      <c r="C24" s="10">
        <v>43</v>
      </c>
      <c r="D24" s="9">
        <v>44</v>
      </c>
      <c r="E24" s="9">
        <v>45</v>
      </c>
      <c r="F24" s="9">
        <v>46</v>
      </c>
      <c r="G24" s="9">
        <v>59</v>
      </c>
      <c r="H24" s="9">
        <v>60</v>
      </c>
      <c r="I24" s="9">
        <v>61</v>
      </c>
      <c r="J24" s="9">
        <v>62</v>
      </c>
      <c r="K24" s="9">
        <v>63</v>
      </c>
      <c r="L24" s="91"/>
      <c r="S24" s="92" t="s">
        <v>19</v>
      </c>
      <c r="T24" s="12" t="s">
        <v>10</v>
      </c>
      <c r="U24" s="13">
        <f>SUM(U25:U27)</f>
        <v>63</v>
      </c>
      <c r="V24" s="73">
        <v>1</v>
      </c>
    </row>
    <row r="25" spans="1:23">
      <c r="A25" s="106"/>
      <c r="B25" s="8" t="str">
        <f t="shared" si="0"/>
        <v>602</v>
      </c>
      <c r="C25" s="9">
        <v>47</v>
      </c>
      <c r="D25" s="9">
        <v>48</v>
      </c>
      <c r="E25" s="9">
        <v>49</v>
      </c>
      <c r="F25" s="9">
        <v>50</v>
      </c>
      <c r="G25" s="82"/>
      <c r="H25" s="83"/>
      <c r="I25" s="83"/>
      <c r="J25" s="83"/>
      <c r="K25" s="84"/>
      <c r="L25" s="91"/>
      <c r="S25" s="93"/>
      <c r="T25" s="14" t="s">
        <v>11</v>
      </c>
      <c r="U25" s="13" cm="1">
        <f t="array" ref="U25">CountByColor(C52:K63, T25)</f>
        <v>4</v>
      </c>
      <c r="V25" s="74">
        <v>6.3500000000000001E-2</v>
      </c>
    </row>
    <row r="26" spans="1:23">
      <c r="A26" s="106"/>
      <c r="B26" s="8" t="str">
        <f t="shared" si="0"/>
        <v>603</v>
      </c>
      <c r="C26" s="9">
        <v>51</v>
      </c>
      <c r="D26" s="9">
        <v>52</v>
      </c>
      <c r="E26" s="9">
        <v>53</v>
      </c>
      <c r="F26" s="9">
        <v>54</v>
      </c>
      <c r="G26" s="107"/>
      <c r="H26" s="108"/>
      <c r="I26" s="108"/>
      <c r="J26" s="108"/>
      <c r="K26" s="109"/>
      <c r="L26" s="91"/>
      <c r="S26" s="93"/>
      <c r="T26" s="15" t="s">
        <v>12</v>
      </c>
      <c r="U26" s="13" cm="1">
        <f t="array" ref="U26">CountByColor(C52:K63, T26)</f>
        <v>0</v>
      </c>
      <c r="V26" s="73">
        <v>0</v>
      </c>
    </row>
    <row r="27" spans="1:23">
      <c r="A27" s="99"/>
      <c r="B27" s="8" t="str">
        <f t="shared" si="0"/>
        <v>604</v>
      </c>
      <c r="C27" s="9">
        <v>55</v>
      </c>
      <c r="D27" s="9">
        <v>56</v>
      </c>
      <c r="E27" s="9">
        <v>57</v>
      </c>
      <c r="F27" s="9">
        <v>58</v>
      </c>
      <c r="G27" s="85"/>
      <c r="H27" s="86"/>
      <c r="I27" s="86"/>
      <c r="J27" s="86"/>
      <c r="K27" s="87"/>
      <c r="L27" s="91"/>
      <c r="S27" s="94"/>
      <c r="T27" s="16" t="s">
        <v>13</v>
      </c>
      <c r="U27" s="13" cm="1">
        <f t="array" ref="U27">CountByColor(C52:K63, T27)</f>
        <v>59</v>
      </c>
      <c r="V27" s="74">
        <v>0.9365</v>
      </c>
    </row>
    <row r="28" spans="1:23">
      <c r="A28" s="98">
        <v>7</v>
      </c>
      <c r="B28" s="8" t="str">
        <f t="shared" si="0"/>
        <v>701</v>
      </c>
      <c r="C28" s="9">
        <v>1</v>
      </c>
      <c r="D28" s="9">
        <v>2</v>
      </c>
      <c r="E28" s="11">
        <v>3</v>
      </c>
      <c r="F28" s="9">
        <v>4</v>
      </c>
      <c r="G28" s="9">
        <v>17</v>
      </c>
      <c r="H28" s="9">
        <v>18</v>
      </c>
      <c r="I28" s="9">
        <v>19</v>
      </c>
      <c r="J28" s="9">
        <v>20</v>
      </c>
      <c r="K28" s="9">
        <v>21</v>
      </c>
      <c r="L28" s="91" t="s">
        <v>15</v>
      </c>
      <c r="S28" s="1"/>
    </row>
    <row r="29" spans="1:23">
      <c r="A29" s="106"/>
      <c r="B29" s="8" t="str">
        <f t="shared" si="0"/>
        <v>702</v>
      </c>
      <c r="C29" s="9">
        <v>5</v>
      </c>
      <c r="D29" s="9">
        <v>6</v>
      </c>
      <c r="E29" s="9">
        <v>7</v>
      </c>
      <c r="F29" s="9">
        <v>8</v>
      </c>
      <c r="G29" s="82"/>
      <c r="H29" s="83"/>
      <c r="I29" s="83"/>
      <c r="J29" s="83"/>
      <c r="K29" s="84"/>
      <c r="L29" s="91"/>
      <c r="S29" s="92" t="s">
        <v>20</v>
      </c>
      <c r="T29" s="12" t="s">
        <v>10</v>
      </c>
      <c r="U29" s="13">
        <f>SUM(U30:U32)</f>
        <v>63</v>
      </c>
      <c r="V29" s="73">
        <v>1</v>
      </c>
    </row>
    <row r="30" spans="1:23">
      <c r="A30" s="106"/>
      <c r="B30" s="8" t="str">
        <f t="shared" si="0"/>
        <v>703</v>
      </c>
      <c r="C30" s="9">
        <v>9</v>
      </c>
      <c r="D30" s="9">
        <v>10</v>
      </c>
      <c r="E30" s="9">
        <v>11</v>
      </c>
      <c r="F30" s="9">
        <v>12</v>
      </c>
      <c r="G30" s="107"/>
      <c r="H30" s="108"/>
      <c r="I30" s="108"/>
      <c r="J30" s="108"/>
      <c r="K30" s="109"/>
      <c r="L30" s="91"/>
      <c r="S30" s="93"/>
      <c r="T30" s="14" t="s">
        <v>11</v>
      </c>
      <c r="U30" s="13" cm="1">
        <f t="array" ref="U30">CountByColor(C64:K75, T30)</f>
        <v>3</v>
      </c>
      <c r="V30" s="74">
        <v>4.7600000000000003E-2</v>
      </c>
    </row>
    <row r="31" spans="1:23">
      <c r="A31" s="99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85"/>
      <c r="H31" s="86"/>
      <c r="I31" s="86"/>
      <c r="J31" s="86"/>
      <c r="K31" s="87"/>
      <c r="L31" s="91"/>
      <c r="O31" s="6"/>
      <c r="S31" s="93"/>
      <c r="T31" s="15" t="s">
        <v>12</v>
      </c>
      <c r="U31" s="13" cm="1">
        <f t="array" ref="U31">CountByColor(C64:K75, T31)</f>
        <v>0</v>
      </c>
      <c r="V31" s="73">
        <v>0</v>
      </c>
    </row>
    <row r="32" spans="1:23">
      <c r="A32" s="98">
        <v>8</v>
      </c>
      <c r="B32" s="8" t="str">
        <f t="shared" si="0"/>
        <v>801</v>
      </c>
      <c r="C32" s="9">
        <v>22</v>
      </c>
      <c r="D32" s="9">
        <v>23</v>
      </c>
      <c r="E32" s="9">
        <v>24</v>
      </c>
      <c r="F32" s="9">
        <v>25</v>
      </c>
      <c r="G32" s="9">
        <v>38</v>
      </c>
      <c r="H32" s="9">
        <v>39</v>
      </c>
      <c r="I32" s="10">
        <v>40</v>
      </c>
      <c r="J32" s="9">
        <v>41</v>
      </c>
      <c r="K32" s="9">
        <v>42</v>
      </c>
      <c r="L32" s="91"/>
      <c r="O32" s="6"/>
      <c r="S32" s="94"/>
      <c r="T32" s="16" t="s">
        <v>13</v>
      </c>
      <c r="U32" s="13" cm="1">
        <f t="array" ref="U32">CountByColor(C64:K75, T32)</f>
        <v>60</v>
      </c>
      <c r="V32" s="74">
        <v>0.95240000000000002</v>
      </c>
    </row>
    <row r="33" spans="1:23">
      <c r="A33" s="106"/>
      <c r="B33" s="8" t="str">
        <f t="shared" si="0"/>
        <v>802</v>
      </c>
      <c r="C33" s="9">
        <v>26</v>
      </c>
      <c r="D33" s="9">
        <v>27</v>
      </c>
      <c r="E33" s="9">
        <v>28</v>
      </c>
      <c r="F33" s="10">
        <v>29</v>
      </c>
      <c r="G33" s="82"/>
      <c r="H33" s="83"/>
      <c r="I33" s="83"/>
      <c r="J33" s="83"/>
      <c r="K33" s="84"/>
      <c r="L33" s="91"/>
      <c r="O33" s="6"/>
      <c r="S33" s="1"/>
    </row>
    <row r="34" spans="1:23">
      <c r="A34" s="106"/>
      <c r="B34" s="8" t="str">
        <f t="shared" si="0"/>
        <v>803</v>
      </c>
      <c r="C34" s="10">
        <v>30</v>
      </c>
      <c r="D34" s="10">
        <v>31</v>
      </c>
      <c r="E34" s="10">
        <v>32</v>
      </c>
      <c r="F34" s="10">
        <v>33</v>
      </c>
      <c r="G34" s="107"/>
      <c r="H34" s="108"/>
      <c r="I34" s="108"/>
      <c r="J34" s="108"/>
      <c r="K34" s="109"/>
      <c r="L34" s="91"/>
      <c r="O34" s="6"/>
      <c r="S34" s="92" t="s">
        <v>21</v>
      </c>
      <c r="T34" s="12" t="s">
        <v>10</v>
      </c>
      <c r="U34" s="13">
        <f>SUM(U35:U37)</f>
        <v>84</v>
      </c>
      <c r="V34" s="73">
        <v>1</v>
      </c>
    </row>
    <row r="35" spans="1:23">
      <c r="A35" s="99"/>
      <c r="B35" s="8" t="str">
        <f t="shared" si="0"/>
        <v>804</v>
      </c>
      <c r="C35" s="9">
        <v>34</v>
      </c>
      <c r="D35" s="9">
        <v>35</v>
      </c>
      <c r="E35" s="9">
        <v>36</v>
      </c>
      <c r="F35" s="9">
        <v>37</v>
      </c>
      <c r="G35" s="85"/>
      <c r="H35" s="86"/>
      <c r="I35" s="86"/>
      <c r="J35" s="86"/>
      <c r="K35" s="87"/>
      <c r="L35" s="91"/>
      <c r="O35" s="6"/>
      <c r="S35" s="93"/>
      <c r="T35" s="14" t="s">
        <v>11</v>
      </c>
      <c r="U35" s="13" cm="1">
        <f t="array" ref="U35">CountByColor(C76:K91, T35)</f>
        <v>8</v>
      </c>
      <c r="V35" s="74">
        <v>9.5200000000000007E-2</v>
      </c>
    </row>
    <row r="36" spans="1:23">
      <c r="A36" s="98">
        <v>9</v>
      </c>
      <c r="B36" s="8" t="str">
        <f t="shared" si="0"/>
        <v>901</v>
      </c>
      <c r="C36" s="9">
        <v>43</v>
      </c>
      <c r="D36" s="9">
        <v>44</v>
      </c>
      <c r="E36" s="9">
        <v>45</v>
      </c>
      <c r="F36" s="10">
        <v>46</v>
      </c>
      <c r="G36" s="9">
        <v>59</v>
      </c>
      <c r="H36" s="9">
        <v>60</v>
      </c>
      <c r="I36" s="9">
        <v>61</v>
      </c>
      <c r="J36" s="9">
        <v>62</v>
      </c>
      <c r="K36" s="9">
        <v>63</v>
      </c>
      <c r="L36" s="91"/>
      <c r="N36" s="1"/>
      <c r="O36" s="6"/>
      <c r="S36" s="93"/>
      <c r="T36" s="15" t="s">
        <v>12</v>
      </c>
      <c r="U36" s="13" cm="1">
        <f t="array" ref="U36">CountByColor(C76:L91, T36)</f>
        <v>5</v>
      </c>
      <c r="V36" s="74">
        <v>5.9499999999999997E-2</v>
      </c>
    </row>
    <row r="37" spans="1:23">
      <c r="A37" s="106"/>
      <c r="B37" s="8" t="str">
        <f t="shared" si="0"/>
        <v>902</v>
      </c>
      <c r="C37" s="9">
        <v>47</v>
      </c>
      <c r="D37" s="9">
        <v>48</v>
      </c>
      <c r="E37" s="9">
        <v>49</v>
      </c>
      <c r="F37" s="9">
        <v>50</v>
      </c>
      <c r="G37" s="82"/>
      <c r="H37" s="83"/>
      <c r="I37" s="83"/>
      <c r="J37" s="83"/>
      <c r="K37" s="84"/>
      <c r="L37" s="91"/>
      <c r="N37" s="1"/>
      <c r="O37" s="6"/>
      <c r="S37" s="94"/>
      <c r="T37" s="16" t="s">
        <v>13</v>
      </c>
      <c r="U37" s="13" cm="1">
        <f t="array" ref="U37">CountByColor(C76:K91, T37)</f>
        <v>71</v>
      </c>
      <c r="V37" s="74">
        <v>0.84519999999999995</v>
      </c>
    </row>
    <row r="38" spans="1:23">
      <c r="A38" s="106"/>
      <c r="B38" s="8" t="str">
        <f t="shared" si="0"/>
        <v>903</v>
      </c>
      <c r="C38" s="9">
        <v>51</v>
      </c>
      <c r="D38" s="9">
        <v>52</v>
      </c>
      <c r="E38" s="9">
        <v>53</v>
      </c>
      <c r="F38" s="9">
        <v>54</v>
      </c>
      <c r="G38" s="107"/>
      <c r="H38" s="108"/>
      <c r="I38" s="108"/>
      <c r="J38" s="108"/>
      <c r="K38" s="109"/>
      <c r="L38" s="91"/>
      <c r="N38" s="1"/>
      <c r="S38" s="1"/>
    </row>
    <row r="39" spans="1:23">
      <c r="A39" s="99"/>
      <c r="B39" s="8" t="str">
        <f t="shared" si="0"/>
        <v>904</v>
      </c>
      <c r="C39" s="9">
        <v>55</v>
      </c>
      <c r="D39" s="9">
        <v>56</v>
      </c>
      <c r="E39" s="9">
        <v>57</v>
      </c>
      <c r="F39" s="9">
        <v>58</v>
      </c>
      <c r="G39" s="85"/>
      <c r="H39" s="86"/>
      <c r="I39" s="86"/>
      <c r="J39" s="86"/>
      <c r="K39" s="87"/>
      <c r="L39" s="91"/>
      <c r="N39" s="17"/>
      <c r="S39" s="92" t="s">
        <v>22</v>
      </c>
      <c r="T39" s="12" t="s">
        <v>10</v>
      </c>
      <c r="U39" s="13">
        <f>SUM(U40:U42)</f>
        <v>63</v>
      </c>
      <c r="V39" s="73">
        <v>1</v>
      </c>
    </row>
    <row r="40" spans="1:23">
      <c r="A40" s="98">
        <v>10</v>
      </c>
      <c r="B40" s="8" t="str">
        <f t="shared" si="0"/>
        <v>1001</v>
      </c>
      <c r="C40" s="9">
        <v>1</v>
      </c>
      <c r="D40" s="9">
        <v>2</v>
      </c>
      <c r="E40" s="9">
        <v>3</v>
      </c>
      <c r="F40" s="10">
        <v>4</v>
      </c>
      <c r="G40" s="9">
        <v>17</v>
      </c>
      <c r="H40" s="9">
        <v>18</v>
      </c>
      <c r="I40" s="9">
        <v>19</v>
      </c>
      <c r="J40" s="9">
        <v>20</v>
      </c>
      <c r="K40" s="9">
        <v>21</v>
      </c>
      <c r="L40" s="91" t="s">
        <v>16</v>
      </c>
      <c r="M40" s="1"/>
      <c r="N40" s="6"/>
      <c r="R40" s="1"/>
      <c r="S40" s="93"/>
      <c r="T40" s="14" t="s">
        <v>11</v>
      </c>
      <c r="U40" s="13" cm="1">
        <f t="array" ref="U40">CountByColor(C92:L103, T40)</f>
        <v>4</v>
      </c>
      <c r="V40" s="74">
        <v>6.3500000000000001E-2</v>
      </c>
      <c r="W40" s="1"/>
    </row>
    <row r="41" spans="1:23">
      <c r="A41" s="106"/>
      <c r="B41" s="8" t="str">
        <f t="shared" si="0"/>
        <v>1002</v>
      </c>
      <c r="C41" s="9">
        <v>5</v>
      </c>
      <c r="D41" s="9">
        <v>6</v>
      </c>
      <c r="E41" s="9">
        <v>7</v>
      </c>
      <c r="F41" s="9">
        <v>8</v>
      </c>
      <c r="G41" s="82"/>
      <c r="H41" s="83"/>
      <c r="I41" s="83"/>
      <c r="J41" s="83"/>
      <c r="K41" s="84"/>
      <c r="L41" s="91"/>
      <c r="M41" s="1"/>
      <c r="N41" s="6"/>
      <c r="R41" s="1"/>
      <c r="S41" s="93"/>
      <c r="T41" s="15" t="s">
        <v>12</v>
      </c>
      <c r="U41" s="13" cm="1">
        <f t="array" ref="U41">CountByColor(C92:K103, T41)</f>
        <v>25</v>
      </c>
      <c r="V41" s="74">
        <v>0.39679999999999999</v>
      </c>
      <c r="W41" s="1"/>
    </row>
    <row r="42" spans="1:23">
      <c r="A42" s="106"/>
      <c r="B42" s="8" t="str">
        <f t="shared" si="0"/>
        <v>1003</v>
      </c>
      <c r="C42" s="9">
        <v>9</v>
      </c>
      <c r="D42" s="9">
        <v>10</v>
      </c>
      <c r="E42" s="9">
        <v>11</v>
      </c>
      <c r="F42" s="9">
        <v>12</v>
      </c>
      <c r="G42" s="107"/>
      <c r="H42" s="108"/>
      <c r="I42" s="108"/>
      <c r="J42" s="108"/>
      <c r="K42" s="109"/>
      <c r="L42" s="91"/>
      <c r="M42" s="1"/>
      <c r="N42" s="6"/>
      <c r="R42" s="1"/>
      <c r="S42" s="94"/>
      <c r="T42" s="16" t="s">
        <v>13</v>
      </c>
      <c r="U42" s="13" cm="1">
        <f t="array" ref="U42">CountByColor(C92:K103, T42)</f>
        <v>34</v>
      </c>
      <c r="V42" s="74">
        <v>0.53969999999999996</v>
      </c>
    </row>
    <row r="43" spans="1:23">
      <c r="A43" s="99"/>
      <c r="B43" s="8" t="str">
        <f t="shared" si="0"/>
        <v>1004</v>
      </c>
      <c r="C43" s="11">
        <v>13</v>
      </c>
      <c r="D43" s="10">
        <v>14</v>
      </c>
      <c r="E43" s="9">
        <v>15</v>
      </c>
      <c r="F43" s="9">
        <v>16</v>
      </c>
      <c r="G43" s="85"/>
      <c r="H43" s="86"/>
      <c r="I43" s="86"/>
      <c r="J43" s="86"/>
      <c r="K43" s="87"/>
      <c r="L43" s="91"/>
      <c r="M43" s="1"/>
      <c r="N43" s="6"/>
      <c r="R43" s="1"/>
      <c r="W43" s="1"/>
    </row>
    <row r="44" spans="1:23">
      <c r="A44" s="98">
        <v>11</v>
      </c>
      <c r="B44" s="8" t="str">
        <f t="shared" si="0"/>
        <v>1101</v>
      </c>
      <c r="C44" s="9">
        <v>22</v>
      </c>
      <c r="D44" s="11">
        <v>23</v>
      </c>
      <c r="E44" s="9">
        <v>24</v>
      </c>
      <c r="F44" s="9">
        <v>25</v>
      </c>
      <c r="G44" s="11">
        <v>38</v>
      </c>
      <c r="H44" s="9">
        <v>39</v>
      </c>
      <c r="I44" s="10">
        <v>40</v>
      </c>
      <c r="J44" s="9">
        <v>41</v>
      </c>
      <c r="K44" s="9">
        <v>42</v>
      </c>
      <c r="L44" s="91"/>
      <c r="M44" s="1"/>
      <c r="N44" s="6"/>
      <c r="R44" s="1"/>
      <c r="W44" s="1"/>
    </row>
    <row r="45" spans="1:23">
      <c r="A45" s="106"/>
      <c r="B45" s="8" t="str">
        <f t="shared" si="0"/>
        <v>1102</v>
      </c>
      <c r="C45" s="11">
        <v>26</v>
      </c>
      <c r="D45" s="9">
        <v>27</v>
      </c>
      <c r="E45" s="11">
        <v>28</v>
      </c>
      <c r="F45" s="9">
        <v>29</v>
      </c>
      <c r="G45" s="82"/>
      <c r="H45" s="83"/>
      <c r="I45" s="83"/>
      <c r="J45" s="83"/>
      <c r="K45" s="84"/>
      <c r="L45" s="91"/>
      <c r="M45" s="1"/>
      <c r="N45" s="6"/>
      <c r="R45" s="1"/>
      <c r="W45" s="1"/>
    </row>
    <row r="46" spans="1:23">
      <c r="A46" s="106"/>
      <c r="B46" s="8" t="str">
        <f t="shared" si="0"/>
        <v>1103</v>
      </c>
      <c r="C46" s="9">
        <v>30</v>
      </c>
      <c r="D46" s="9">
        <v>31</v>
      </c>
      <c r="E46" s="9">
        <v>32</v>
      </c>
      <c r="F46" s="9">
        <v>33</v>
      </c>
      <c r="G46" s="107"/>
      <c r="H46" s="108"/>
      <c r="I46" s="108"/>
      <c r="J46" s="108"/>
      <c r="K46" s="109"/>
      <c r="L46" s="91"/>
      <c r="M46" s="1"/>
      <c r="N46" s="6"/>
      <c r="R46" s="1"/>
      <c r="W46" s="1"/>
    </row>
    <row r="47" spans="1:23">
      <c r="A47" s="99"/>
      <c r="B47" s="8" t="str">
        <f t="shared" si="0"/>
        <v>1104</v>
      </c>
      <c r="C47" s="9">
        <v>34</v>
      </c>
      <c r="D47" s="9">
        <v>35</v>
      </c>
      <c r="E47" s="9">
        <v>36</v>
      </c>
      <c r="F47" s="9">
        <v>37</v>
      </c>
      <c r="G47" s="85"/>
      <c r="H47" s="86"/>
      <c r="I47" s="86"/>
      <c r="J47" s="86"/>
      <c r="K47" s="87"/>
      <c r="L47" s="91"/>
      <c r="M47" s="1"/>
      <c r="N47" s="6"/>
      <c r="R47" s="1"/>
      <c r="W47" s="1"/>
    </row>
    <row r="48" spans="1:23">
      <c r="A48" s="80">
        <v>12</v>
      </c>
      <c r="B48" s="8" t="str">
        <f t="shared" si="0"/>
        <v>1201</v>
      </c>
      <c r="C48" s="9">
        <v>43</v>
      </c>
      <c r="D48" s="9">
        <v>44</v>
      </c>
      <c r="E48" s="9">
        <v>45</v>
      </c>
      <c r="F48" s="9">
        <v>46</v>
      </c>
      <c r="G48" s="10">
        <v>59</v>
      </c>
      <c r="H48" s="9">
        <v>60</v>
      </c>
      <c r="I48" s="9">
        <v>61</v>
      </c>
      <c r="J48" s="9">
        <v>62</v>
      </c>
      <c r="K48" s="9">
        <v>63</v>
      </c>
      <c r="L48" s="91"/>
      <c r="M48" s="1"/>
      <c r="N48" s="6"/>
      <c r="O48" s="6"/>
      <c r="R48" s="1"/>
      <c r="W48" s="1"/>
    </row>
    <row r="49" spans="1:23">
      <c r="A49" s="80"/>
      <c r="B49" s="8" t="str">
        <f t="shared" si="0"/>
        <v>1202</v>
      </c>
      <c r="C49" s="10">
        <v>47</v>
      </c>
      <c r="D49" s="9">
        <v>48</v>
      </c>
      <c r="E49" s="9">
        <v>49</v>
      </c>
      <c r="F49" s="9">
        <v>50</v>
      </c>
      <c r="G49" s="82"/>
      <c r="H49" s="83"/>
      <c r="I49" s="83"/>
      <c r="J49" s="83"/>
      <c r="K49" s="84"/>
      <c r="L49" s="91"/>
      <c r="M49" s="1"/>
      <c r="N49" s="6"/>
      <c r="O49" s="6"/>
      <c r="R49" s="1"/>
      <c r="W49" s="1"/>
    </row>
    <row r="50" spans="1:23">
      <c r="A50" s="80"/>
      <c r="B50" s="8" t="str">
        <f t="shared" si="0"/>
        <v>1203</v>
      </c>
      <c r="C50" s="9">
        <v>51</v>
      </c>
      <c r="D50" s="9">
        <v>52</v>
      </c>
      <c r="E50" s="9">
        <v>53</v>
      </c>
      <c r="F50" s="9">
        <v>54</v>
      </c>
      <c r="G50" s="107"/>
      <c r="H50" s="108"/>
      <c r="I50" s="108"/>
      <c r="J50" s="108"/>
      <c r="K50" s="109"/>
      <c r="L50" s="91"/>
      <c r="O50" s="6"/>
    </row>
    <row r="51" spans="1:23">
      <c r="A51" s="80"/>
      <c r="B51" s="8" t="str">
        <f t="shared" si="0"/>
        <v>1204</v>
      </c>
      <c r="C51" s="9">
        <v>55</v>
      </c>
      <c r="D51" s="9">
        <v>56</v>
      </c>
      <c r="E51" s="9">
        <v>57</v>
      </c>
      <c r="F51" s="9">
        <v>58</v>
      </c>
      <c r="G51" s="85"/>
      <c r="H51" s="86"/>
      <c r="I51" s="86"/>
      <c r="J51" s="86"/>
      <c r="K51" s="87"/>
      <c r="L51" s="91"/>
      <c r="O51" s="6"/>
    </row>
    <row r="52" spans="1:23">
      <c r="A52" s="98">
        <v>13</v>
      </c>
      <c r="B52" s="8" t="str">
        <f t="shared" si="0"/>
        <v>1301</v>
      </c>
      <c r="C52" s="9">
        <v>1</v>
      </c>
      <c r="D52" s="9">
        <v>2</v>
      </c>
      <c r="E52" s="9">
        <v>3</v>
      </c>
      <c r="F52" s="9">
        <v>4</v>
      </c>
      <c r="G52" s="9">
        <v>17</v>
      </c>
      <c r="H52" s="9">
        <v>18</v>
      </c>
      <c r="I52" s="9">
        <v>19</v>
      </c>
      <c r="J52" s="9">
        <v>20</v>
      </c>
      <c r="K52" s="9">
        <v>21</v>
      </c>
      <c r="L52" s="91" t="s">
        <v>18</v>
      </c>
      <c r="O52" s="6"/>
    </row>
    <row r="53" spans="1:23">
      <c r="A53" s="106"/>
      <c r="B53" s="8" t="str">
        <f t="shared" si="0"/>
        <v>1302</v>
      </c>
      <c r="C53" s="9">
        <v>5</v>
      </c>
      <c r="D53" s="9">
        <v>6</v>
      </c>
      <c r="E53" s="9">
        <v>7</v>
      </c>
      <c r="F53" s="9">
        <v>8</v>
      </c>
      <c r="G53" s="82"/>
      <c r="H53" s="83"/>
      <c r="I53" s="83"/>
      <c r="J53" s="83"/>
      <c r="K53" s="84"/>
      <c r="L53" s="91"/>
      <c r="O53" s="6"/>
    </row>
    <row r="54" spans="1:23">
      <c r="A54" s="106"/>
      <c r="B54" s="8" t="str">
        <f t="shared" si="0"/>
        <v>1303</v>
      </c>
      <c r="C54" s="9">
        <v>9</v>
      </c>
      <c r="D54" s="9">
        <v>10</v>
      </c>
      <c r="E54" s="9">
        <v>11</v>
      </c>
      <c r="F54" s="9">
        <v>12</v>
      </c>
      <c r="G54" s="107"/>
      <c r="H54" s="108"/>
      <c r="I54" s="108"/>
      <c r="J54" s="108"/>
      <c r="K54" s="109"/>
      <c r="L54" s="91"/>
      <c r="O54" s="6"/>
    </row>
    <row r="55" spans="1:23">
      <c r="A55" s="99"/>
      <c r="B55" s="8" t="str">
        <f t="shared" si="0"/>
        <v>1304</v>
      </c>
      <c r="C55" s="9">
        <v>13</v>
      </c>
      <c r="D55" s="9">
        <v>14</v>
      </c>
      <c r="E55" s="9">
        <v>15</v>
      </c>
      <c r="F55" s="9">
        <v>16</v>
      </c>
      <c r="G55" s="85"/>
      <c r="H55" s="86"/>
      <c r="I55" s="86"/>
      <c r="J55" s="86"/>
      <c r="K55" s="87"/>
      <c r="L55" s="91"/>
      <c r="O55" s="6"/>
    </row>
    <row r="56" spans="1:23">
      <c r="A56" s="98">
        <v>14</v>
      </c>
      <c r="B56" s="8" t="str">
        <f t="shared" si="0"/>
        <v>1401</v>
      </c>
      <c r="C56" s="11">
        <v>22</v>
      </c>
      <c r="D56" s="11">
        <v>23</v>
      </c>
      <c r="E56" s="11">
        <v>24</v>
      </c>
      <c r="F56" s="9">
        <v>25</v>
      </c>
      <c r="G56" s="9">
        <v>38</v>
      </c>
      <c r="H56" s="9">
        <v>39</v>
      </c>
      <c r="I56" s="9">
        <v>40</v>
      </c>
      <c r="J56" s="9">
        <v>41</v>
      </c>
      <c r="K56" s="9">
        <v>42</v>
      </c>
      <c r="L56" s="91"/>
      <c r="O56" s="6"/>
    </row>
    <row r="57" spans="1:23">
      <c r="A57" s="106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82"/>
      <c r="H57" s="83"/>
      <c r="I57" s="83"/>
      <c r="J57" s="83"/>
      <c r="K57" s="84"/>
      <c r="L57" s="91"/>
      <c r="O57" s="6"/>
    </row>
    <row r="58" spans="1:23">
      <c r="A58" s="106"/>
      <c r="B58" s="8" t="str">
        <f t="shared" si="0"/>
        <v>1403</v>
      </c>
      <c r="C58" s="9">
        <v>30</v>
      </c>
      <c r="D58" s="9">
        <v>31</v>
      </c>
      <c r="E58" s="9">
        <v>32</v>
      </c>
      <c r="F58" s="9">
        <v>33</v>
      </c>
      <c r="G58" s="107"/>
      <c r="H58" s="108"/>
      <c r="I58" s="108"/>
      <c r="J58" s="108"/>
      <c r="K58" s="109"/>
      <c r="L58" s="91"/>
      <c r="O58" s="6"/>
    </row>
    <row r="59" spans="1:23">
      <c r="A59" s="99"/>
      <c r="B59" s="8" t="str">
        <f t="shared" si="0"/>
        <v>1404</v>
      </c>
      <c r="C59" s="9">
        <v>34</v>
      </c>
      <c r="D59" s="9">
        <v>35</v>
      </c>
      <c r="E59" s="9">
        <v>36</v>
      </c>
      <c r="F59" s="9">
        <v>37</v>
      </c>
      <c r="G59" s="85"/>
      <c r="H59" s="86"/>
      <c r="I59" s="86"/>
      <c r="J59" s="86"/>
      <c r="K59" s="87"/>
      <c r="L59" s="91"/>
      <c r="O59" s="6"/>
    </row>
    <row r="60" spans="1:23">
      <c r="A60" s="98">
        <v>15</v>
      </c>
      <c r="B60" s="8" t="str">
        <f t="shared" si="0"/>
        <v>1501</v>
      </c>
      <c r="C60" s="9">
        <v>43</v>
      </c>
      <c r="D60" s="9">
        <v>44</v>
      </c>
      <c r="E60" s="9">
        <v>45</v>
      </c>
      <c r="F60" s="9">
        <v>46</v>
      </c>
      <c r="G60" s="9">
        <v>59</v>
      </c>
      <c r="H60" s="9">
        <v>60</v>
      </c>
      <c r="I60" s="9">
        <v>61</v>
      </c>
      <c r="J60" s="9">
        <v>62</v>
      </c>
      <c r="K60" s="9">
        <v>63</v>
      </c>
      <c r="L60" s="91"/>
      <c r="O60" s="6"/>
    </row>
    <row r="61" spans="1:23">
      <c r="A61" s="106"/>
      <c r="B61" s="8" t="str">
        <f t="shared" si="0"/>
        <v>1502</v>
      </c>
      <c r="C61" s="11">
        <v>47</v>
      </c>
      <c r="D61" s="9">
        <v>48</v>
      </c>
      <c r="E61" s="9">
        <v>49</v>
      </c>
      <c r="F61" s="9">
        <v>50</v>
      </c>
      <c r="G61" s="82"/>
      <c r="H61" s="83"/>
      <c r="I61" s="83"/>
      <c r="J61" s="83"/>
      <c r="K61" s="84"/>
      <c r="L61" s="91"/>
      <c r="O61" s="6"/>
    </row>
    <row r="62" spans="1:23">
      <c r="A62" s="106"/>
      <c r="B62" s="8" t="str">
        <f t="shared" si="0"/>
        <v>1503</v>
      </c>
      <c r="C62" s="9">
        <v>51</v>
      </c>
      <c r="D62" s="9">
        <v>52</v>
      </c>
      <c r="E62" s="9">
        <v>53</v>
      </c>
      <c r="F62" s="9">
        <v>54</v>
      </c>
      <c r="G62" s="107"/>
      <c r="H62" s="108"/>
      <c r="I62" s="108"/>
      <c r="J62" s="108"/>
      <c r="K62" s="109"/>
      <c r="L62" s="91"/>
      <c r="O62" s="6"/>
    </row>
    <row r="63" spans="1:23">
      <c r="A63" s="99"/>
      <c r="B63" s="8" t="str">
        <f t="shared" si="0"/>
        <v>1504</v>
      </c>
      <c r="C63" s="9">
        <v>55</v>
      </c>
      <c r="D63" s="9">
        <v>56</v>
      </c>
      <c r="E63" s="9">
        <v>57</v>
      </c>
      <c r="F63" s="9">
        <v>58</v>
      </c>
      <c r="G63" s="85"/>
      <c r="H63" s="86"/>
      <c r="I63" s="86"/>
      <c r="J63" s="86"/>
      <c r="K63" s="87"/>
      <c r="L63" s="91"/>
      <c r="O63" s="6"/>
    </row>
    <row r="64" spans="1:23">
      <c r="A64" s="98">
        <v>16</v>
      </c>
      <c r="B64" s="8" t="str">
        <f t="shared" si="0"/>
        <v>1601</v>
      </c>
      <c r="C64" s="9">
        <v>1</v>
      </c>
      <c r="D64" s="9">
        <v>2</v>
      </c>
      <c r="E64" s="9">
        <v>3</v>
      </c>
      <c r="F64" s="9">
        <v>4</v>
      </c>
      <c r="G64" s="9">
        <v>17</v>
      </c>
      <c r="H64" s="9">
        <v>18</v>
      </c>
      <c r="I64" s="9">
        <v>19</v>
      </c>
      <c r="J64" s="9">
        <v>20</v>
      </c>
      <c r="K64" s="9">
        <v>21</v>
      </c>
      <c r="L64" s="91" t="s">
        <v>20</v>
      </c>
      <c r="O64" s="6"/>
    </row>
    <row r="65" spans="1:15">
      <c r="A65" s="106"/>
      <c r="B65" s="8" t="str">
        <f t="shared" si="0"/>
        <v>1602</v>
      </c>
      <c r="C65" s="9">
        <v>5</v>
      </c>
      <c r="D65" s="9">
        <v>6</v>
      </c>
      <c r="E65" s="9">
        <v>7</v>
      </c>
      <c r="F65" s="9">
        <v>8</v>
      </c>
      <c r="G65" s="82"/>
      <c r="H65" s="83"/>
      <c r="I65" s="83"/>
      <c r="J65" s="83"/>
      <c r="K65" s="84"/>
      <c r="L65" s="91"/>
      <c r="O65" s="6"/>
    </row>
    <row r="66" spans="1:15">
      <c r="A66" s="106"/>
      <c r="B66" s="8" t="str">
        <f t="shared" si="0"/>
        <v>1603</v>
      </c>
      <c r="C66" s="9">
        <v>9</v>
      </c>
      <c r="D66" s="9">
        <v>10</v>
      </c>
      <c r="E66" s="11">
        <v>11</v>
      </c>
      <c r="F66" s="9">
        <v>12</v>
      </c>
      <c r="G66" s="107"/>
      <c r="H66" s="108"/>
      <c r="I66" s="108"/>
      <c r="J66" s="108"/>
      <c r="K66" s="109"/>
      <c r="L66" s="91"/>
      <c r="O66" s="6"/>
    </row>
    <row r="67" spans="1:15">
      <c r="A67" s="99"/>
      <c r="B67" s="8" t="str">
        <f t="shared" si="0"/>
        <v>1604</v>
      </c>
      <c r="C67" s="9">
        <v>13</v>
      </c>
      <c r="D67" s="9">
        <v>14</v>
      </c>
      <c r="E67" s="9">
        <v>15</v>
      </c>
      <c r="F67" s="11">
        <v>16</v>
      </c>
      <c r="G67" s="85"/>
      <c r="H67" s="86"/>
      <c r="I67" s="86"/>
      <c r="J67" s="86"/>
      <c r="K67" s="87"/>
      <c r="L67" s="91"/>
      <c r="O67" s="6"/>
    </row>
    <row r="68" spans="1:15">
      <c r="A68" s="98">
        <v>17</v>
      </c>
      <c r="B68" s="8" t="str">
        <f t="shared" si="0"/>
        <v>1701</v>
      </c>
      <c r="C68" s="9">
        <v>22</v>
      </c>
      <c r="D68" s="9">
        <v>23</v>
      </c>
      <c r="E68" s="9">
        <v>24</v>
      </c>
      <c r="F68" s="9">
        <v>25</v>
      </c>
      <c r="G68" s="9">
        <v>38</v>
      </c>
      <c r="H68" s="9">
        <v>39</v>
      </c>
      <c r="I68" s="9">
        <v>40</v>
      </c>
      <c r="J68" s="9">
        <v>41</v>
      </c>
      <c r="K68" s="9">
        <v>42</v>
      </c>
      <c r="L68" s="91"/>
      <c r="O68" s="6"/>
    </row>
    <row r="69" spans="1:15">
      <c r="A69" s="106"/>
      <c r="B69" s="8" t="str">
        <f t="shared" ref="B69:B103" si="1">INT((ROW()-4)/4)+1 &amp; TEXT(MOD(ROW()-4,4)+1,"00")</f>
        <v>1702</v>
      </c>
      <c r="C69" s="9">
        <v>26</v>
      </c>
      <c r="D69" s="9">
        <v>27</v>
      </c>
      <c r="E69" s="9">
        <v>28</v>
      </c>
      <c r="F69" s="9">
        <v>29</v>
      </c>
      <c r="G69" s="82"/>
      <c r="H69" s="83"/>
      <c r="I69" s="83"/>
      <c r="J69" s="83"/>
      <c r="K69" s="84"/>
      <c r="L69" s="91"/>
      <c r="O69" s="6"/>
    </row>
    <row r="70" spans="1:15">
      <c r="A70" s="106"/>
      <c r="B70" s="8" t="str">
        <f t="shared" si="1"/>
        <v>1703</v>
      </c>
      <c r="C70" s="9">
        <v>30</v>
      </c>
      <c r="D70" s="9">
        <v>31</v>
      </c>
      <c r="E70" s="9">
        <v>32</v>
      </c>
      <c r="F70" s="9">
        <v>33</v>
      </c>
      <c r="G70" s="107"/>
      <c r="H70" s="108"/>
      <c r="I70" s="108"/>
      <c r="J70" s="108"/>
      <c r="K70" s="109"/>
      <c r="L70" s="91"/>
      <c r="O70" s="6"/>
    </row>
    <row r="71" spans="1:15">
      <c r="A71" s="99"/>
      <c r="B71" s="8" t="str">
        <f t="shared" si="1"/>
        <v>1704</v>
      </c>
      <c r="C71" s="9">
        <v>34</v>
      </c>
      <c r="D71" s="9">
        <v>35</v>
      </c>
      <c r="E71" s="9">
        <v>36</v>
      </c>
      <c r="F71" s="9">
        <v>37</v>
      </c>
      <c r="G71" s="85"/>
      <c r="H71" s="86"/>
      <c r="I71" s="86"/>
      <c r="J71" s="86"/>
      <c r="K71" s="87"/>
      <c r="L71" s="91"/>
      <c r="O71" s="6"/>
    </row>
    <row r="72" spans="1:15">
      <c r="A72" s="98">
        <v>18</v>
      </c>
      <c r="B72" s="8" t="str">
        <f t="shared" si="1"/>
        <v>1801</v>
      </c>
      <c r="C72" s="9">
        <v>43</v>
      </c>
      <c r="D72" s="9">
        <v>44</v>
      </c>
      <c r="E72" s="9">
        <v>45</v>
      </c>
      <c r="F72" s="9">
        <v>46</v>
      </c>
      <c r="G72" s="9">
        <v>59</v>
      </c>
      <c r="H72" s="9">
        <v>60</v>
      </c>
      <c r="I72" s="9">
        <v>61</v>
      </c>
      <c r="J72" s="9">
        <v>62</v>
      </c>
      <c r="K72" s="9">
        <v>63</v>
      </c>
      <c r="L72" s="91"/>
      <c r="O72" s="6"/>
    </row>
    <row r="73" spans="1:15">
      <c r="A73" s="106"/>
      <c r="B73" s="8" t="str">
        <f t="shared" si="1"/>
        <v>1802</v>
      </c>
      <c r="C73" s="9">
        <v>47</v>
      </c>
      <c r="D73" s="9">
        <v>48</v>
      </c>
      <c r="E73" s="9">
        <v>49</v>
      </c>
      <c r="F73" s="11">
        <v>50</v>
      </c>
      <c r="G73" s="82"/>
      <c r="H73" s="83"/>
      <c r="I73" s="83"/>
      <c r="J73" s="83"/>
      <c r="K73" s="84"/>
      <c r="L73" s="91"/>
      <c r="O73" s="6"/>
    </row>
    <row r="74" spans="1:15">
      <c r="A74" s="106"/>
      <c r="B74" s="8" t="str">
        <f t="shared" si="1"/>
        <v>1803</v>
      </c>
      <c r="C74" s="9">
        <v>51</v>
      </c>
      <c r="D74" s="9">
        <v>52</v>
      </c>
      <c r="E74" s="9">
        <v>53</v>
      </c>
      <c r="F74" s="9">
        <v>54</v>
      </c>
      <c r="G74" s="107"/>
      <c r="H74" s="108"/>
      <c r="I74" s="108"/>
      <c r="J74" s="108"/>
      <c r="K74" s="109"/>
      <c r="L74" s="91"/>
      <c r="O74" s="6"/>
    </row>
    <row r="75" spans="1:15">
      <c r="A75" s="99"/>
      <c r="B75" s="8" t="str">
        <f t="shared" si="1"/>
        <v>1804</v>
      </c>
      <c r="C75" s="9">
        <v>55</v>
      </c>
      <c r="D75" s="9">
        <v>56</v>
      </c>
      <c r="E75" s="9">
        <v>57</v>
      </c>
      <c r="F75" s="9">
        <v>58</v>
      </c>
      <c r="G75" s="85"/>
      <c r="H75" s="86"/>
      <c r="I75" s="86"/>
      <c r="J75" s="86"/>
      <c r="K75" s="87"/>
      <c r="L75" s="91"/>
      <c r="O75" s="6"/>
    </row>
    <row r="76" spans="1:15">
      <c r="A76" s="98">
        <v>19</v>
      </c>
      <c r="B76" s="8" t="str">
        <f t="shared" si="1"/>
        <v>1901</v>
      </c>
      <c r="C76" s="9">
        <v>1</v>
      </c>
      <c r="D76" s="9">
        <v>2</v>
      </c>
      <c r="E76" s="9">
        <v>3</v>
      </c>
      <c r="F76" s="9">
        <v>4</v>
      </c>
      <c r="G76" s="9">
        <v>17</v>
      </c>
      <c r="H76" s="9">
        <v>18</v>
      </c>
      <c r="I76" s="9">
        <v>19</v>
      </c>
      <c r="J76" s="9">
        <v>20</v>
      </c>
      <c r="K76" s="9">
        <v>21</v>
      </c>
      <c r="L76" s="91" t="s">
        <v>21</v>
      </c>
      <c r="O76" s="6"/>
    </row>
    <row r="77" spans="1:15">
      <c r="A77" s="106"/>
      <c r="B77" s="8" t="str">
        <f t="shared" si="1"/>
        <v>1902</v>
      </c>
      <c r="C77" s="9">
        <v>5</v>
      </c>
      <c r="D77" s="9">
        <v>6</v>
      </c>
      <c r="E77" s="9">
        <v>7</v>
      </c>
      <c r="F77" s="9">
        <v>8</v>
      </c>
      <c r="G77" s="82"/>
      <c r="H77" s="83"/>
      <c r="I77" s="83"/>
      <c r="J77" s="83"/>
      <c r="K77" s="84"/>
      <c r="L77" s="91"/>
      <c r="O77" s="6"/>
    </row>
    <row r="78" spans="1:15">
      <c r="A78" s="106"/>
      <c r="B78" s="8" t="str">
        <f t="shared" si="1"/>
        <v>1903</v>
      </c>
      <c r="C78" s="9">
        <v>9</v>
      </c>
      <c r="D78" s="9">
        <v>10</v>
      </c>
      <c r="E78" s="9">
        <v>11</v>
      </c>
      <c r="F78" s="9">
        <v>12</v>
      </c>
      <c r="G78" s="107"/>
      <c r="H78" s="108"/>
      <c r="I78" s="108"/>
      <c r="J78" s="108"/>
      <c r="K78" s="109"/>
      <c r="L78" s="91"/>
      <c r="O78" s="6"/>
    </row>
    <row r="79" spans="1:15">
      <c r="A79" s="99"/>
      <c r="B79" s="8" t="str">
        <f t="shared" si="1"/>
        <v>1904</v>
      </c>
      <c r="C79" s="9">
        <v>13</v>
      </c>
      <c r="D79" s="9">
        <v>14</v>
      </c>
      <c r="E79" s="11">
        <v>15</v>
      </c>
      <c r="F79" s="9">
        <v>16</v>
      </c>
      <c r="G79" s="85"/>
      <c r="H79" s="86"/>
      <c r="I79" s="86"/>
      <c r="J79" s="86"/>
      <c r="K79" s="87"/>
      <c r="L79" s="91"/>
      <c r="O79" s="6"/>
    </row>
    <row r="80" spans="1:15">
      <c r="A80" s="98">
        <v>20</v>
      </c>
      <c r="B80" s="8" t="str">
        <f t="shared" si="1"/>
        <v>2001</v>
      </c>
      <c r="C80" s="9">
        <v>22</v>
      </c>
      <c r="D80" s="11">
        <v>23</v>
      </c>
      <c r="E80" s="9">
        <v>24</v>
      </c>
      <c r="F80" s="9">
        <v>25</v>
      </c>
      <c r="G80" s="9">
        <v>38</v>
      </c>
      <c r="H80" s="10">
        <v>39</v>
      </c>
      <c r="I80" s="9">
        <v>40</v>
      </c>
      <c r="J80" s="9">
        <v>41</v>
      </c>
      <c r="K80" s="9">
        <v>42</v>
      </c>
      <c r="L80" s="91"/>
      <c r="O80" s="6"/>
    </row>
    <row r="81" spans="1:19">
      <c r="A81" s="106"/>
      <c r="B81" s="8" t="str">
        <f t="shared" si="1"/>
        <v>2002</v>
      </c>
      <c r="C81" s="9">
        <v>26</v>
      </c>
      <c r="D81" s="9">
        <v>27</v>
      </c>
      <c r="E81" s="9">
        <v>28</v>
      </c>
      <c r="F81" s="9">
        <v>29</v>
      </c>
      <c r="G81" s="82"/>
      <c r="H81" s="83"/>
      <c r="I81" s="83"/>
      <c r="J81" s="83"/>
      <c r="K81" s="84"/>
      <c r="L81" s="91"/>
      <c r="O81" s="6"/>
    </row>
    <row r="82" spans="1:19">
      <c r="A82" s="106"/>
      <c r="B82" s="8" t="str">
        <f t="shared" si="1"/>
        <v>2003</v>
      </c>
      <c r="C82" s="9">
        <v>30</v>
      </c>
      <c r="D82" s="9">
        <v>31</v>
      </c>
      <c r="E82" s="9">
        <v>32</v>
      </c>
      <c r="F82" s="9">
        <v>33</v>
      </c>
      <c r="G82" s="107"/>
      <c r="H82" s="108"/>
      <c r="I82" s="108"/>
      <c r="J82" s="108"/>
      <c r="K82" s="109"/>
      <c r="L82" s="91"/>
      <c r="O82" s="6"/>
    </row>
    <row r="83" spans="1:19">
      <c r="A83" s="99"/>
      <c r="B83" s="8" t="str">
        <f t="shared" si="1"/>
        <v>2004</v>
      </c>
      <c r="C83" s="9">
        <v>34</v>
      </c>
      <c r="D83" s="9">
        <v>35</v>
      </c>
      <c r="E83" s="9">
        <v>36</v>
      </c>
      <c r="F83" s="9">
        <v>37</v>
      </c>
      <c r="G83" s="85"/>
      <c r="H83" s="86"/>
      <c r="I83" s="86"/>
      <c r="J83" s="86"/>
      <c r="K83" s="87"/>
      <c r="L83" s="91"/>
      <c r="O83" s="6"/>
    </row>
    <row r="84" spans="1:19">
      <c r="A84" s="98">
        <v>21</v>
      </c>
      <c r="B84" s="8" t="str">
        <f t="shared" si="1"/>
        <v>2101</v>
      </c>
      <c r="C84" s="11">
        <v>43</v>
      </c>
      <c r="D84" s="9">
        <v>44</v>
      </c>
      <c r="E84" s="9">
        <v>45</v>
      </c>
      <c r="F84" s="9">
        <v>46</v>
      </c>
      <c r="G84" s="9">
        <v>59</v>
      </c>
      <c r="H84" s="9">
        <v>60</v>
      </c>
      <c r="I84" s="9">
        <v>61</v>
      </c>
      <c r="J84" s="9">
        <v>62</v>
      </c>
      <c r="K84" s="9">
        <v>63</v>
      </c>
      <c r="L84" s="91"/>
      <c r="O84" s="6"/>
    </row>
    <row r="85" spans="1:19">
      <c r="A85" s="106"/>
      <c r="B85" s="8" t="str">
        <f t="shared" si="1"/>
        <v>2102</v>
      </c>
      <c r="C85" s="11">
        <v>47</v>
      </c>
      <c r="D85" s="9">
        <v>48</v>
      </c>
      <c r="E85" s="9">
        <v>49</v>
      </c>
      <c r="F85" s="9">
        <v>50</v>
      </c>
      <c r="G85" s="82"/>
      <c r="H85" s="83"/>
      <c r="I85" s="83"/>
      <c r="J85" s="83"/>
      <c r="K85" s="84"/>
      <c r="L85" s="91"/>
      <c r="O85" s="6"/>
    </row>
    <row r="86" spans="1:19">
      <c r="A86" s="106"/>
      <c r="B86" s="8" t="str">
        <f t="shared" si="1"/>
        <v>2103</v>
      </c>
      <c r="C86" s="9">
        <v>51</v>
      </c>
      <c r="D86" s="9">
        <v>52</v>
      </c>
      <c r="E86" s="9">
        <v>53</v>
      </c>
      <c r="F86" s="9">
        <v>54</v>
      </c>
      <c r="G86" s="107"/>
      <c r="H86" s="108"/>
      <c r="I86" s="108"/>
      <c r="J86" s="108"/>
      <c r="K86" s="109"/>
      <c r="L86" s="91"/>
    </row>
    <row r="87" spans="1:19">
      <c r="A87" s="99"/>
      <c r="B87" s="8" t="str">
        <f t="shared" si="1"/>
        <v>2104</v>
      </c>
      <c r="C87" s="11">
        <v>55</v>
      </c>
      <c r="D87" s="11">
        <v>56</v>
      </c>
      <c r="E87" s="11">
        <v>57</v>
      </c>
      <c r="F87" s="11">
        <v>58</v>
      </c>
      <c r="G87" s="85"/>
      <c r="H87" s="86"/>
      <c r="I87" s="86"/>
      <c r="J87" s="86"/>
      <c r="K87" s="87"/>
      <c r="L87" s="91"/>
    </row>
    <row r="88" spans="1:19">
      <c r="A88" s="98">
        <v>22</v>
      </c>
      <c r="B88" s="8" t="str">
        <f t="shared" si="1"/>
        <v>2201</v>
      </c>
      <c r="C88" s="10">
        <v>64</v>
      </c>
      <c r="D88" s="9">
        <v>65</v>
      </c>
      <c r="E88" s="10">
        <v>66</v>
      </c>
      <c r="F88" s="9">
        <v>67</v>
      </c>
      <c r="G88" s="9">
        <v>80</v>
      </c>
      <c r="H88" s="9">
        <v>81</v>
      </c>
      <c r="I88" s="10">
        <v>82</v>
      </c>
      <c r="J88" s="9">
        <v>83</v>
      </c>
      <c r="K88" s="9">
        <v>84</v>
      </c>
      <c r="L88" s="91"/>
      <c r="N88" s="6"/>
    </row>
    <row r="89" spans="1:19">
      <c r="A89" s="106"/>
      <c r="B89" s="8" t="str">
        <f t="shared" si="1"/>
        <v>2202</v>
      </c>
      <c r="C89" s="9">
        <v>68</v>
      </c>
      <c r="D89" s="9">
        <v>69</v>
      </c>
      <c r="E89" s="9">
        <v>70</v>
      </c>
      <c r="F89" s="9">
        <v>71</v>
      </c>
      <c r="G89" s="82"/>
      <c r="H89" s="83"/>
      <c r="I89" s="83"/>
      <c r="J89" s="83"/>
      <c r="K89" s="84"/>
      <c r="L89" s="91"/>
      <c r="N89" s="6"/>
    </row>
    <row r="90" spans="1:19">
      <c r="A90" s="106"/>
      <c r="B90" s="8" t="str">
        <f t="shared" si="1"/>
        <v>2203</v>
      </c>
      <c r="C90" s="9">
        <v>72</v>
      </c>
      <c r="D90" s="9">
        <v>73</v>
      </c>
      <c r="E90" s="9">
        <v>74</v>
      </c>
      <c r="F90" s="9">
        <v>75</v>
      </c>
      <c r="G90" s="107"/>
      <c r="H90" s="108"/>
      <c r="I90" s="108"/>
      <c r="J90" s="108"/>
      <c r="K90" s="109"/>
      <c r="L90" s="91"/>
      <c r="N90" s="6"/>
    </row>
    <row r="91" spans="1:19">
      <c r="A91" s="99"/>
      <c r="B91" s="8" t="str">
        <f t="shared" si="1"/>
        <v>2204</v>
      </c>
      <c r="C91" s="9">
        <v>76</v>
      </c>
      <c r="D91" s="9">
        <v>77</v>
      </c>
      <c r="E91" s="10">
        <v>78</v>
      </c>
      <c r="F91" s="9">
        <v>79</v>
      </c>
      <c r="G91" s="107"/>
      <c r="H91" s="108"/>
      <c r="I91" s="108"/>
      <c r="J91" s="108"/>
      <c r="K91" s="109"/>
      <c r="L91" s="100"/>
      <c r="N91" s="6"/>
    </row>
    <row r="92" spans="1:19">
      <c r="A92" s="98">
        <v>23</v>
      </c>
      <c r="B92" s="8" t="str">
        <f t="shared" si="1"/>
        <v>2301</v>
      </c>
      <c r="C92" s="9">
        <v>1</v>
      </c>
      <c r="D92" s="9">
        <v>2</v>
      </c>
      <c r="E92" s="9">
        <v>3</v>
      </c>
      <c r="F92" s="20">
        <v>4</v>
      </c>
      <c r="G92" s="51">
        <v>17</v>
      </c>
      <c r="H92" s="51">
        <v>18</v>
      </c>
      <c r="I92" s="51">
        <v>19</v>
      </c>
      <c r="J92" s="51">
        <v>20</v>
      </c>
      <c r="K92" s="51">
        <v>21</v>
      </c>
      <c r="L92" s="153" t="s">
        <v>22</v>
      </c>
      <c r="N92" s="6"/>
      <c r="S92" s="18"/>
    </row>
    <row r="93" spans="1:19">
      <c r="A93" s="106"/>
      <c r="B93" s="8" t="str">
        <f t="shared" si="1"/>
        <v>2302</v>
      </c>
      <c r="C93" s="11">
        <v>5</v>
      </c>
      <c r="D93" s="9">
        <v>6</v>
      </c>
      <c r="E93" s="9">
        <v>7</v>
      </c>
      <c r="F93" s="20">
        <v>8</v>
      </c>
      <c r="G93" s="155"/>
      <c r="H93" s="155"/>
      <c r="I93" s="155"/>
      <c r="J93" s="155"/>
      <c r="K93" s="155"/>
      <c r="L93" s="153"/>
      <c r="N93" s="6"/>
    </row>
    <row r="94" spans="1:19">
      <c r="A94" s="106"/>
      <c r="B94" s="8" t="str">
        <f t="shared" si="1"/>
        <v>2303</v>
      </c>
      <c r="C94" s="10">
        <v>9</v>
      </c>
      <c r="D94" s="10">
        <v>10</v>
      </c>
      <c r="E94" s="10">
        <v>11</v>
      </c>
      <c r="F94" s="52">
        <v>12</v>
      </c>
      <c r="G94" s="155"/>
      <c r="H94" s="155"/>
      <c r="I94" s="155"/>
      <c r="J94" s="155"/>
      <c r="K94" s="155"/>
      <c r="L94" s="153"/>
      <c r="N94" s="6"/>
    </row>
    <row r="95" spans="1:19">
      <c r="A95" s="99"/>
      <c r="B95" s="8" t="str">
        <f t="shared" si="1"/>
        <v>2304</v>
      </c>
      <c r="C95" s="9">
        <v>13</v>
      </c>
      <c r="D95" s="9">
        <v>14</v>
      </c>
      <c r="E95" s="9">
        <v>15</v>
      </c>
      <c r="F95" s="20">
        <v>16</v>
      </c>
      <c r="G95" s="155"/>
      <c r="H95" s="155"/>
      <c r="I95" s="155"/>
      <c r="J95" s="155"/>
      <c r="K95" s="155"/>
      <c r="L95" s="153"/>
      <c r="N95" s="6"/>
    </row>
    <row r="96" spans="1:19">
      <c r="A96" s="98">
        <v>24</v>
      </c>
      <c r="B96" s="8" t="str">
        <f t="shared" si="1"/>
        <v>2401</v>
      </c>
      <c r="C96" s="11">
        <v>22</v>
      </c>
      <c r="D96" s="11">
        <v>23</v>
      </c>
      <c r="E96" s="11">
        <v>24</v>
      </c>
      <c r="F96" s="20">
        <v>25</v>
      </c>
      <c r="G96" s="51">
        <v>38</v>
      </c>
      <c r="H96" s="51">
        <v>39</v>
      </c>
      <c r="I96" s="51">
        <v>40</v>
      </c>
      <c r="J96" s="51">
        <v>41</v>
      </c>
      <c r="K96" s="51">
        <v>42</v>
      </c>
      <c r="L96" s="153"/>
      <c r="N96" s="6"/>
    </row>
    <row r="97" spans="1:15">
      <c r="A97" s="106"/>
      <c r="B97" s="8" t="str">
        <f t="shared" si="1"/>
        <v>2402</v>
      </c>
      <c r="C97" s="9">
        <v>26</v>
      </c>
      <c r="D97" s="10">
        <v>27</v>
      </c>
      <c r="E97" s="9">
        <v>28</v>
      </c>
      <c r="F97" s="20">
        <v>29</v>
      </c>
      <c r="G97" s="155"/>
      <c r="H97" s="155"/>
      <c r="I97" s="155"/>
      <c r="J97" s="155"/>
      <c r="K97" s="155"/>
      <c r="L97" s="153"/>
      <c r="N97" s="6"/>
    </row>
    <row r="98" spans="1:15">
      <c r="A98" s="106"/>
      <c r="B98" s="8" t="str">
        <f t="shared" si="1"/>
        <v>2403</v>
      </c>
      <c r="C98" s="9">
        <v>30</v>
      </c>
      <c r="D98" s="9">
        <v>31</v>
      </c>
      <c r="E98" s="9">
        <v>32</v>
      </c>
      <c r="F98" s="20">
        <v>33</v>
      </c>
      <c r="G98" s="155"/>
      <c r="H98" s="155"/>
      <c r="I98" s="155"/>
      <c r="J98" s="155"/>
      <c r="K98" s="155"/>
      <c r="L98" s="153"/>
      <c r="N98" s="6"/>
      <c r="O98" s="6"/>
    </row>
    <row r="99" spans="1:15">
      <c r="A99" s="99"/>
      <c r="B99" s="8" t="str">
        <f t="shared" si="1"/>
        <v>2404</v>
      </c>
      <c r="C99" s="9">
        <v>34</v>
      </c>
      <c r="D99" s="9">
        <v>35</v>
      </c>
      <c r="E99" s="9">
        <v>36</v>
      </c>
      <c r="F99" s="20">
        <v>37</v>
      </c>
      <c r="G99" s="155"/>
      <c r="H99" s="155"/>
      <c r="I99" s="155"/>
      <c r="J99" s="155"/>
      <c r="K99" s="155"/>
      <c r="L99" s="153"/>
      <c r="N99" s="6"/>
      <c r="O99" s="6"/>
    </row>
    <row r="100" spans="1:15">
      <c r="A100" s="98">
        <v>25</v>
      </c>
      <c r="B100" s="8" t="str">
        <f t="shared" si="1"/>
        <v>2501</v>
      </c>
      <c r="C100" s="10">
        <v>43</v>
      </c>
      <c r="D100" s="10">
        <v>44</v>
      </c>
      <c r="E100" s="10">
        <v>45</v>
      </c>
      <c r="F100" s="52">
        <v>46</v>
      </c>
      <c r="G100" s="53">
        <v>59</v>
      </c>
      <c r="H100" s="53">
        <v>60</v>
      </c>
      <c r="I100" s="53">
        <v>61</v>
      </c>
      <c r="J100" s="53">
        <v>62</v>
      </c>
      <c r="K100" s="53">
        <v>63</v>
      </c>
      <c r="L100" s="153"/>
      <c r="O100" s="6"/>
    </row>
    <row r="101" spans="1:15">
      <c r="A101" s="106"/>
      <c r="B101" s="8" t="str">
        <f t="shared" si="1"/>
        <v>2502</v>
      </c>
      <c r="C101" s="10">
        <v>47</v>
      </c>
      <c r="D101" s="10">
        <v>48</v>
      </c>
      <c r="E101" s="10">
        <v>49</v>
      </c>
      <c r="F101" s="10">
        <v>50</v>
      </c>
      <c r="G101" s="107"/>
      <c r="H101" s="108"/>
      <c r="I101" s="108"/>
      <c r="J101" s="108"/>
      <c r="K101" s="108"/>
      <c r="L101" s="154"/>
      <c r="O101" s="6"/>
    </row>
    <row r="102" spans="1:15">
      <c r="A102" s="106"/>
      <c r="B102" s="8" t="str">
        <f t="shared" si="1"/>
        <v>2503</v>
      </c>
      <c r="C102" s="10">
        <v>51</v>
      </c>
      <c r="D102" s="10">
        <v>52</v>
      </c>
      <c r="E102" s="10">
        <v>53</v>
      </c>
      <c r="F102" s="10">
        <v>54</v>
      </c>
      <c r="G102" s="107"/>
      <c r="H102" s="108"/>
      <c r="I102" s="108"/>
      <c r="J102" s="108"/>
      <c r="K102" s="108"/>
      <c r="L102" s="154"/>
      <c r="O102" s="6"/>
    </row>
    <row r="103" spans="1:15">
      <c r="A103" s="99"/>
      <c r="B103" s="8" t="str">
        <f t="shared" si="1"/>
        <v>2504</v>
      </c>
      <c r="C103" s="10">
        <v>55</v>
      </c>
      <c r="D103" s="9">
        <v>56</v>
      </c>
      <c r="E103" s="10">
        <v>57</v>
      </c>
      <c r="F103" s="10">
        <v>58</v>
      </c>
      <c r="G103" s="85"/>
      <c r="H103" s="86"/>
      <c r="I103" s="86"/>
      <c r="J103" s="86"/>
      <c r="K103" s="86"/>
      <c r="L103" s="154"/>
      <c r="O103" s="6"/>
    </row>
    <row r="104" spans="1:15">
      <c r="O104" s="6"/>
    </row>
    <row r="105" spans="1:15">
      <c r="O105" s="6"/>
    </row>
    <row r="106" spans="1:15">
      <c r="O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  <row r="113" spans="15:15">
      <c r="O113" s="6"/>
    </row>
    <row r="114" spans="15:15">
      <c r="O114" s="6"/>
    </row>
    <row r="115" spans="15:15">
      <c r="O115" s="6"/>
    </row>
    <row r="116" spans="15:15">
      <c r="O116" s="6"/>
    </row>
    <row r="117" spans="15:15">
      <c r="O117" s="6"/>
    </row>
    <row r="118" spans="15:15">
      <c r="O118" s="6"/>
    </row>
    <row r="119" spans="15:15">
      <c r="O119" s="6"/>
    </row>
    <row r="120" spans="15:15">
      <c r="O120" s="6"/>
    </row>
    <row r="121" spans="15:15">
      <c r="O121" s="6"/>
    </row>
    <row r="122" spans="15:15">
      <c r="O122" s="6"/>
    </row>
    <row r="123" spans="15:15">
      <c r="O123" s="6"/>
    </row>
    <row r="124" spans="15:15">
      <c r="O124" s="6"/>
    </row>
    <row r="125" spans="15:15">
      <c r="O125" s="6"/>
    </row>
    <row r="126" spans="15:15">
      <c r="O126" s="6"/>
    </row>
    <row r="127" spans="15:15">
      <c r="O127" s="6"/>
    </row>
    <row r="128" spans="15:15">
      <c r="O128" s="6"/>
    </row>
    <row r="129" spans="15:15">
      <c r="O129" s="6"/>
    </row>
    <row r="130" spans="15:15">
      <c r="O130" s="6"/>
    </row>
    <row r="131" spans="15:15">
      <c r="O131" s="6"/>
    </row>
    <row r="132" spans="15:15">
      <c r="O132" s="6"/>
    </row>
    <row r="133" spans="15:15">
      <c r="O133" s="6"/>
    </row>
    <row r="134" spans="15:15">
      <c r="O134" s="6"/>
    </row>
    <row r="135" spans="15:15">
      <c r="O135" s="6"/>
    </row>
    <row r="136" spans="15:15">
      <c r="O136" s="6"/>
    </row>
    <row r="137" spans="15:15">
      <c r="O137" s="6"/>
    </row>
    <row r="138" spans="15:15">
      <c r="O138" s="6"/>
    </row>
    <row r="139" spans="15:15">
      <c r="O139" s="6"/>
    </row>
    <row r="140" spans="15:15">
      <c r="O140" s="6"/>
    </row>
    <row r="141" spans="15:15">
      <c r="O141" s="6"/>
    </row>
    <row r="142" spans="15:15">
      <c r="O142" s="6"/>
    </row>
    <row r="143" spans="15:15">
      <c r="O143" s="6"/>
    </row>
    <row r="144" spans="15:15">
      <c r="O144" s="6"/>
    </row>
    <row r="145" spans="15:15">
      <c r="O145" s="6"/>
    </row>
    <row r="146" spans="15:15">
      <c r="O146" s="6"/>
    </row>
    <row r="147" spans="15:15">
      <c r="O147" s="6"/>
    </row>
    <row r="148" spans="15:15">
      <c r="O148" s="6"/>
    </row>
    <row r="149" spans="15:15">
      <c r="O149" s="6"/>
    </row>
    <row r="150" spans="15:15">
      <c r="O150" s="6"/>
    </row>
    <row r="151" spans="15:15">
      <c r="O151" s="6"/>
    </row>
    <row r="152" spans="15:15">
      <c r="O152" s="6"/>
    </row>
  </sheetData>
  <mergeCells count="78">
    <mergeCell ref="L92:L103"/>
    <mergeCell ref="A92:A95"/>
    <mergeCell ref="G93:K95"/>
    <mergeCell ref="A96:A99"/>
    <mergeCell ref="G97:K99"/>
    <mergeCell ref="A100:A103"/>
    <mergeCell ref="G101:K103"/>
    <mergeCell ref="A76:A79"/>
    <mergeCell ref="L76:L91"/>
    <mergeCell ref="G77:K79"/>
    <mergeCell ref="A80:A83"/>
    <mergeCell ref="G81:K83"/>
    <mergeCell ref="A84:A87"/>
    <mergeCell ref="G85:K87"/>
    <mergeCell ref="A88:A91"/>
    <mergeCell ref="G89:K91"/>
    <mergeCell ref="A64:A67"/>
    <mergeCell ref="L64:L75"/>
    <mergeCell ref="G65:K67"/>
    <mergeCell ref="A68:A71"/>
    <mergeCell ref="G69:K71"/>
    <mergeCell ref="A72:A75"/>
    <mergeCell ref="G73:K75"/>
    <mergeCell ref="G49:K51"/>
    <mergeCell ref="A52:A55"/>
    <mergeCell ref="L52:L63"/>
    <mergeCell ref="G53:K55"/>
    <mergeCell ref="A56:A59"/>
    <mergeCell ref="G57:K59"/>
    <mergeCell ref="A60:A63"/>
    <mergeCell ref="G61:K63"/>
    <mergeCell ref="A28:A31"/>
    <mergeCell ref="L28:L39"/>
    <mergeCell ref="G29:K31"/>
    <mergeCell ref="S29:S32"/>
    <mergeCell ref="A32:A35"/>
    <mergeCell ref="G33:K35"/>
    <mergeCell ref="S34:S37"/>
    <mergeCell ref="A36:A39"/>
    <mergeCell ref="G37:K39"/>
    <mergeCell ref="S39:S42"/>
    <mergeCell ref="A40:A43"/>
    <mergeCell ref="L40:L51"/>
    <mergeCell ref="G41:K43"/>
    <mergeCell ref="A44:A47"/>
    <mergeCell ref="G45:K47"/>
    <mergeCell ref="A48:A51"/>
    <mergeCell ref="A20:A23"/>
    <mergeCell ref="G21:K23"/>
    <mergeCell ref="A24:A27"/>
    <mergeCell ref="S24:S27"/>
    <mergeCell ref="G25:K27"/>
    <mergeCell ref="O3:P3"/>
    <mergeCell ref="A4:A7"/>
    <mergeCell ref="L4:L15"/>
    <mergeCell ref="N4:N7"/>
    <mergeCell ref="S4:S7"/>
    <mergeCell ref="G5:K7"/>
    <mergeCell ref="A8:A11"/>
    <mergeCell ref="G9:K11"/>
    <mergeCell ref="S9:S12"/>
    <mergeCell ref="A12:A15"/>
    <mergeCell ref="G13:K15"/>
    <mergeCell ref="S14:S17"/>
    <mergeCell ref="A16:A19"/>
    <mergeCell ref="L16:L27"/>
    <mergeCell ref="G17:K19"/>
    <mergeCell ref="S19:S22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</mergeCells>
  <conditionalFormatting sqref="F10">
    <cfRule type="cellIs" dxfId="197" priority="16" operator="equal">
      <formula>"Ногоон"</formula>
    </cfRule>
    <cfRule type="cellIs" dxfId="196" priority="17" operator="equal">
      <formula>"Улаан"</formula>
    </cfRule>
  </conditionalFormatting>
  <conditionalFormatting sqref="C4:K4 C8:K8 C5:G5 C6:F7 C12:K12 C9:G9 C10:F11 C100:K100 C13:G13 C14:F15 C16:K16 C20:K20 C17:G17 C18:F19 C24:K24 C21:G21 C22:F23 C25:G25 C26:F27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 C101:G101 C102:F103">
    <cfRule type="cellIs" dxfId="195" priority="15" operator="equal">
      <formula>"Улаан"</formula>
    </cfRule>
  </conditionalFormatting>
  <conditionalFormatting sqref="F22">
    <cfRule type="cellIs" dxfId="194" priority="13" operator="equal">
      <formula>"Ногоон"</formula>
    </cfRule>
    <cfRule type="cellIs" dxfId="193" priority="14" operator="equal">
      <formula>"Улаан"</formula>
    </cfRule>
  </conditionalFormatting>
  <conditionalFormatting sqref="F34">
    <cfRule type="cellIs" dxfId="192" priority="11" operator="equal">
      <formula>"Ногоон"</formula>
    </cfRule>
    <cfRule type="cellIs" dxfId="191" priority="12" operator="equal">
      <formula>"Улаан"</formula>
    </cfRule>
  </conditionalFormatting>
  <conditionalFormatting sqref="F46">
    <cfRule type="cellIs" dxfId="190" priority="9" operator="equal">
      <formula>"Ногоон"</formula>
    </cfRule>
    <cfRule type="cellIs" dxfId="189" priority="10" operator="equal">
      <formula>"Улаан"</formula>
    </cfRule>
  </conditionalFormatting>
  <conditionalFormatting sqref="F58">
    <cfRule type="cellIs" dxfId="188" priority="7" operator="equal">
      <formula>"Ногоон"</formula>
    </cfRule>
    <cfRule type="cellIs" dxfId="187" priority="8" operator="equal">
      <formula>"Улаан"</formula>
    </cfRule>
  </conditionalFormatting>
  <conditionalFormatting sqref="F70">
    <cfRule type="cellIs" dxfId="186" priority="5" operator="equal">
      <formula>"Ногоон"</formula>
    </cfRule>
    <cfRule type="cellIs" dxfId="185" priority="6" operator="equal">
      <formula>"Улаан"</formula>
    </cfRule>
  </conditionalFormatting>
  <conditionalFormatting sqref="F82">
    <cfRule type="cellIs" dxfId="184" priority="3" operator="equal">
      <formula>"Ногоон"</formula>
    </cfRule>
    <cfRule type="cellIs" dxfId="183" priority="4" operator="equal">
      <formula>"Улаан"</formula>
    </cfRule>
  </conditionalFormatting>
  <conditionalFormatting sqref="F94">
    <cfRule type="cellIs" dxfId="182" priority="1" operator="equal">
      <formula>"Ногоон"</formula>
    </cfRule>
    <cfRule type="cellIs" dxfId="181" priority="2" operator="equal">
      <formula>"Улаан"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0E26-F26A-4528-B531-51DB743130AD}">
  <dimension ref="A1:AA112"/>
  <sheetViews>
    <sheetView topLeftCell="N1" workbookViewId="0">
      <selection activeCell="O8" sqref="O8"/>
    </sheetView>
  </sheetViews>
  <sheetFormatPr defaultRowHeight="15"/>
  <cols>
    <col min="15" max="15" width="9.7109375" bestFit="1" customWidth="1"/>
  </cols>
  <sheetData>
    <row r="1" spans="1:27">
      <c r="A1" s="77">
        <v>214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2"/>
      <c r="O1" s="3"/>
      <c r="P1" s="4"/>
      <c r="Q1" s="3"/>
      <c r="R1" s="3"/>
      <c r="S1" s="3"/>
      <c r="T1" s="3"/>
      <c r="U1" s="3"/>
      <c r="V1" s="3"/>
      <c r="W1" s="3"/>
      <c r="X1" s="2"/>
      <c r="Y1" s="3"/>
      <c r="Z1" s="3"/>
      <c r="AA1" s="3"/>
    </row>
    <row r="2" spans="1:27" ht="15" customHeight="1">
      <c r="A2" s="80" t="s">
        <v>1</v>
      </c>
      <c r="B2" s="81" t="s">
        <v>2</v>
      </c>
      <c r="C2" s="82" t="s">
        <v>3</v>
      </c>
      <c r="D2" s="83"/>
      <c r="E2" s="83"/>
      <c r="F2" s="83"/>
      <c r="G2" s="84"/>
      <c r="H2" s="88" t="s">
        <v>4</v>
      </c>
      <c r="I2" s="88" t="s">
        <v>4</v>
      </c>
      <c r="J2" s="81" t="s">
        <v>5</v>
      </c>
      <c r="K2" s="89" t="s">
        <v>6</v>
      </c>
      <c r="L2" s="81" t="s">
        <v>7</v>
      </c>
      <c r="M2" s="80" t="s">
        <v>8</v>
      </c>
      <c r="N2" s="2"/>
      <c r="P2" s="5"/>
      <c r="Q2" s="2"/>
      <c r="R2" s="2"/>
      <c r="S2" s="2"/>
      <c r="U2" s="2"/>
      <c r="V2" s="2"/>
      <c r="W2" s="2"/>
      <c r="X2" s="2"/>
      <c r="Y2" s="2"/>
      <c r="AA2" s="2"/>
    </row>
    <row r="3" spans="1:27">
      <c r="A3" s="80"/>
      <c r="B3" s="81"/>
      <c r="C3" s="85"/>
      <c r="D3" s="86"/>
      <c r="E3" s="86"/>
      <c r="F3" s="86"/>
      <c r="G3" s="87"/>
      <c r="H3" s="88"/>
      <c r="I3" s="88"/>
      <c r="J3" s="81"/>
      <c r="K3" s="89"/>
      <c r="L3" s="81"/>
      <c r="M3" s="80"/>
      <c r="N3" s="2"/>
      <c r="P3" s="90"/>
      <c r="Q3" s="90"/>
      <c r="R3" s="18"/>
      <c r="S3" s="2"/>
      <c r="T3" s="2"/>
      <c r="U3" s="2"/>
      <c r="W3" s="2"/>
      <c r="X3" s="2"/>
      <c r="Y3" s="2"/>
      <c r="Z3" s="2"/>
      <c r="AA3" s="2"/>
    </row>
    <row r="4" spans="1:27">
      <c r="A4" s="80">
        <v>1</v>
      </c>
      <c r="B4" s="8" t="str">
        <f>INT((ROW()-4)/2)+1 &amp; TEXT(MOD(ROW()-4,2)+1,"00")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5</v>
      </c>
      <c r="H4" s="11">
        <v>11</v>
      </c>
      <c r="I4" s="9">
        <v>12</v>
      </c>
      <c r="J4" s="9">
        <v>13</v>
      </c>
      <c r="K4" s="9">
        <v>14</v>
      </c>
      <c r="L4" s="9">
        <v>15</v>
      </c>
      <c r="M4" s="91" t="s">
        <v>9</v>
      </c>
      <c r="O4" s="92">
        <v>46000</v>
      </c>
      <c r="P4" s="12" t="s">
        <v>10</v>
      </c>
      <c r="Q4" s="13">
        <f>SUM(Q5:Q7)</f>
        <v>750</v>
      </c>
      <c r="R4" s="73">
        <v>1</v>
      </c>
      <c r="T4" s="92" t="s">
        <v>9</v>
      </c>
      <c r="U4" s="12" t="s">
        <v>10</v>
      </c>
      <c r="V4" s="13">
        <f>SUM(V5:V7)</f>
        <v>90</v>
      </c>
      <c r="W4" s="73">
        <v>1</v>
      </c>
      <c r="Y4" s="1"/>
      <c r="Z4" s="1"/>
    </row>
    <row r="5" spans="1:27">
      <c r="A5" s="80"/>
      <c r="B5" s="8" t="str">
        <f t="shared" ref="B5:B53" si="0">INT((ROW()-4)/2)+1 &amp; TEXT(MOD(ROW()-4,2)+1,"00")</f>
        <v>102</v>
      </c>
      <c r="C5" s="10">
        <v>6</v>
      </c>
      <c r="D5" s="9">
        <v>7</v>
      </c>
      <c r="E5" s="9">
        <v>8</v>
      </c>
      <c r="F5" s="9">
        <v>9</v>
      </c>
      <c r="G5" s="9">
        <v>10</v>
      </c>
      <c r="H5" s="95"/>
      <c r="I5" s="96"/>
      <c r="J5" s="96"/>
      <c r="K5" s="96"/>
      <c r="L5" s="97"/>
      <c r="M5" s="91"/>
      <c r="O5" s="93"/>
      <c r="P5" s="14" t="s">
        <v>11</v>
      </c>
      <c r="Q5" s="13" cm="1">
        <f t="array" ref="Q5">CountByColor(C4:L103, P5)</f>
        <v>11</v>
      </c>
      <c r="R5" s="74">
        <v>1.47E-2</v>
      </c>
      <c r="T5" s="93"/>
      <c r="U5" s="14" t="s">
        <v>11</v>
      </c>
      <c r="V5" s="13" cm="1">
        <f t="array" ref="V5">CountByColor(C4:L15, U5)</f>
        <v>2</v>
      </c>
      <c r="W5" s="74">
        <v>2.2200000000000001E-2</v>
      </c>
      <c r="Y5" s="1"/>
      <c r="Z5" s="1"/>
    </row>
    <row r="6" spans="1:27">
      <c r="A6" s="98">
        <v>2</v>
      </c>
      <c r="B6" s="8" t="str">
        <f t="shared" si="0"/>
        <v>201</v>
      </c>
      <c r="C6" s="10">
        <v>16</v>
      </c>
      <c r="D6" s="9">
        <v>17</v>
      </c>
      <c r="E6" s="9">
        <v>18</v>
      </c>
      <c r="F6" s="9">
        <v>19</v>
      </c>
      <c r="G6" s="9">
        <v>20</v>
      </c>
      <c r="H6" s="31">
        <v>26</v>
      </c>
      <c r="I6" s="31">
        <v>27</v>
      </c>
      <c r="J6" s="31">
        <v>28</v>
      </c>
      <c r="K6" s="31">
        <v>29</v>
      </c>
      <c r="L6" s="31">
        <v>30</v>
      </c>
      <c r="M6" s="91"/>
      <c r="O6" s="93"/>
      <c r="P6" s="15" t="s">
        <v>12</v>
      </c>
      <c r="Q6" s="13" cm="1">
        <f t="array" ref="Q6">CountByColor(C4:L103, P6)</f>
        <v>14</v>
      </c>
      <c r="R6" s="74">
        <v>1.8700000000000001E-2</v>
      </c>
      <c r="T6" s="93"/>
      <c r="U6" s="15" t="s">
        <v>12</v>
      </c>
      <c r="V6" s="13" cm="1">
        <f t="array" ref="V6">CountByColor(C4:L15, U6)</f>
        <v>2</v>
      </c>
      <c r="W6" s="74">
        <v>2.2200000000000001E-2</v>
      </c>
      <c r="Y6" s="1"/>
      <c r="Z6" s="1"/>
    </row>
    <row r="7" spans="1:27">
      <c r="A7" s="99"/>
      <c r="B7" s="8" t="str">
        <f t="shared" si="0"/>
        <v>202</v>
      </c>
      <c r="C7" s="9">
        <v>21</v>
      </c>
      <c r="D7" s="9">
        <v>22</v>
      </c>
      <c r="E7" s="9">
        <v>23</v>
      </c>
      <c r="F7" s="9">
        <v>24</v>
      </c>
      <c r="G7" s="9">
        <v>25</v>
      </c>
      <c r="H7" s="95"/>
      <c r="I7" s="96"/>
      <c r="J7" s="96"/>
      <c r="K7" s="96"/>
      <c r="L7" s="97"/>
      <c r="M7" s="91"/>
      <c r="O7" s="94"/>
      <c r="P7" s="16" t="s">
        <v>13</v>
      </c>
      <c r="Q7" s="13" cm="1">
        <f t="array" ref="Q7">CountByColor(C4:L103, P7)</f>
        <v>725</v>
      </c>
      <c r="R7" s="74">
        <v>0.9667</v>
      </c>
      <c r="T7" s="94"/>
      <c r="U7" s="16" t="s">
        <v>13</v>
      </c>
      <c r="V7" s="13" cm="1">
        <f t="array" ref="V7">CountByColor(C4:L15, U7)</f>
        <v>86</v>
      </c>
      <c r="W7" s="74">
        <v>0.9556</v>
      </c>
      <c r="Y7" s="1"/>
      <c r="Z7" s="1"/>
    </row>
    <row r="8" spans="1:27">
      <c r="A8" s="98">
        <v>3</v>
      </c>
      <c r="B8" s="8" t="str">
        <f t="shared" si="0"/>
        <v>301</v>
      </c>
      <c r="C8" s="9">
        <v>31</v>
      </c>
      <c r="D8" s="9">
        <v>32</v>
      </c>
      <c r="E8" s="9">
        <v>33</v>
      </c>
      <c r="F8" s="9">
        <v>34</v>
      </c>
      <c r="G8" s="9">
        <v>35</v>
      </c>
      <c r="H8" s="9">
        <v>41</v>
      </c>
      <c r="I8" s="9">
        <v>42</v>
      </c>
      <c r="J8" s="9">
        <v>43</v>
      </c>
      <c r="K8" s="9">
        <v>44</v>
      </c>
      <c r="L8" s="9">
        <v>45</v>
      </c>
      <c r="M8" s="91"/>
      <c r="O8" s="21"/>
      <c r="U8" s="1"/>
      <c r="V8" s="1"/>
      <c r="AA8" s="1"/>
    </row>
    <row r="9" spans="1:27">
      <c r="A9" s="99"/>
      <c r="B9" s="8" t="str">
        <f t="shared" si="0"/>
        <v>302</v>
      </c>
      <c r="C9" s="9">
        <v>36</v>
      </c>
      <c r="D9" s="9">
        <v>37</v>
      </c>
      <c r="E9" s="9">
        <v>38</v>
      </c>
      <c r="F9" s="9">
        <v>39</v>
      </c>
      <c r="G9" s="9">
        <v>40</v>
      </c>
      <c r="H9" s="95"/>
      <c r="I9" s="96"/>
      <c r="J9" s="96"/>
      <c r="K9" s="96"/>
      <c r="L9" s="97"/>
      <c r="M9" s="91"/>
      <c r="T9" s="92" t="s">
        <v>14</v>
      </c>
      <c r="U9" s="12" t="s">
        <v>10</v>
      </c>
      <c r="V9" s="13">
        <f>SUM(V10:V12)</f>
        <v>90</v>
      </c>
      <c r="W9" s="73">
        <v>1</v>
      </c>
      <c r="Y9" s="1"/>
      <c r="Z9" s="1"/>
    </row>
    <row r="10" spans="1:27">
      <c r="A10" s="98">
        <v>4</v>
      </c>
      <c r="B10" s="8" t="str">
        <f t="shared" si="0"/>
        <v>401</v>
      </c>
      <c r="C10" s="9">
        <v>46</v>
      </c>
      <c r="D10" s="9">
        <v>47</v>
      </c>
      <c r="E10" s="9">
        <v>48</v>
      </c>
      <c r="F10" s="9">
        <v>49</v>
      </c>
      <c r="G10" s="9">
        <v>50</v>
      </c>
      <c r="H10" s="31">
        <v>56</v>
      </c>
      <c r="I10" s="31">
        <v>57</v>
      </c>
      <c r="J10" s="31">
        <v>58</v>
      </c>
      <c r="K10" s="31">
        <v>59</v>
      </c>
      <c r="L10" s="31">
        <v>60</v>
      </c>
      <c r="M10" s="91"/>
      <c r="T10" s="93"/>
      <c r="U10" s="14" t="s">
        <v>11</v>
      </c>
      <c r="V10" s="13" cm="1">
        <f t="array" ref="V10">CountByColor(C16:L27, U10)</f>
        <v>2</v>
      </c>
      <c r="W10" s="74">
        <v>2.2200000000000001E-2</v>
      </c>
      <c r="Y10" s="1"/>
      <c r="Z10" s="1"/>
    </row>
    <row r="11" spans="1:27">
      <c r="A11" s="99"/>
      <c r="B11" s="8" t="str">
        <f t="shared" si="0"/>
        <v>402</v>
      </c>
      <c r="C11" s="9">
        <v>51</v>
      </c>
      <c r="D11" s="9">
        <v>52</v>
      </c>
      <c r="E11" s="9">
        <v>53</v>
      </c>
      <c r="F11" s="9">
        <v>54</v>
      </c>
      <c r="G11" s="9">
        <v>55</v>
      </c>
      <c r="H11" s="95"/>
      <c r="I11" s="96"/>
      <c r="J11" s="96"/>
      <c r="K11" s="96"/>
      <c r="L11" s="97"/>
      <c r="M11" s="91"/>
      <c r="T11" s="93"/>
      <c r="U11" s="15" t="s">
        <v>12</v>
      </c>
      <c r="V11" s="13" cm="1">
        <f t="array" ref="V11">CountByColor(C16:L27, U11)</f>
        <v>4</v>
      </c>
      <c r="W11" s="74">
        <v>4.4400000000000002E-2</v>
      </c>
      <c r="Y11" s="1"/>
      <c r="Z11" s="1"/>
    </row>
    <row r="12" spans="1:27">
      <c r="A12" s="98">
        <v>5</v>
      </c>
      <c r="B12" s="8" t="str">
        <f t="shared" si="0"/>
        <v>501</v>
      </c>
      <c r="C12" s="9">
        <v>61</v>
      </c>
      <c r="D12" s="9">
        <v>62</v>
      </c>
      <c r="E12" s="9">
        <v>63</v>
      </c>
      <c r="F12" s="9">
        <v>64</v>
      </c>
      <c r="G12" s="9">
        <v>65</v>
      </c>
      <c r="H12" s="9">
        <v>71</v>
      </c>
      <c r="I12" s="9">
        <v>72</v>
      </c>
      <c r="J12" s="9">
        <v>73</v>
      </c>
      <c r="K12" s="9">
        <v>74</v>
      </c>
      <c r="L12" s="9">
        <v>75</v>
      </c>
      <c r="M12" s="91"/>
      <c r="T12" s="94"/>
      <c r="U12" s="16" t="s">
        <v>13</v>
      </c>
      <c r="V12" s="13" cm="1">
        <f t="array" ref="V12">CountByColor(C16:L27, U12)</f>
        <v>84</v>
      </c>
      <c r="W12" s="74">
        <v>0.93330000000000002</v>
      </c>
      <c r="Y12" s="1"/>
      <c r="Z12" s="1"/>
    </row>
    <row r="13" spans="1:27">
      <c r="A13" s="99"/>
      <c r="B13" s="8" t="str">
        <f t="shared" si="0"/>
        <v>502</v>
      </c>
      <c r="C13" s="9">
        <v>66</v>
      </c>
      <c r="D13" s="9">
        <v>67</v>
      </c>
      <c r="E13" s="9">
        <v>68</v>
      </c>
      <c r="F13" s="9">
        <v>69</v>
      </c>
      <c r="G13" s="9">
        <v>70</v>
      </c>
      <c r="H13" s="95"/>
      <c r="I13" s="96"/>
      <c r="J13" s="96"/>
      <c r="K13" s="96"/>
      <c r="L13" s="97"/>
      <c r="M13" s="91"/>
      <c r="T13" s="1"/>
      <c r="Y13" s="1"/>
      <c r="Z13" s="1"/>
    </row>
    <row r="14" spans="1:27">
      <c r="A14" s="98">
        <v>6</v>
      </c>
      <c r="B14" s="8" t="str">
        <f t="shared" si="0"/>
        <v>601</v>
      </c>
      <c r="C14" s="11">
        <v>76</v>
      </c>
      <c r="D14" s="9">
        <v>77</v>
      </c>
      <c r="E14" s="9">
        <v>78</v>
      </c>
      <c r="F14" s="9">
        <v>79</v>
      </c>
      <c r="G14" s="9">
        <v>80</v>
      </c>
      <c r="H14" s="31">
        <v>86</v>
      </c>
      <c r="I14" s="31">
        <v>87</v>
      </c>
      <c r="J14" s="31">
        <v>88</v>
      </c>
      <c r="K14" s="31">
        <v>89</v>
      </c>
      <c r="L14" s="31">
        <v>90</v>
      </c>
      <c r="M14" s="91"/>
      <c r="T14" s="92" t="s">
        <v>15</v>
      </c>
      <c r="U14" s="12" t="s">
        <v>10</v>
      </c>
      <c r="V14" s="13">
        <f>SUM(V15:V17)</f>
        <v>90</v>
      </c>
      <c r="W14" s="73">
        <v>1</v>
      </c>
      <c r="Y14" s="1"/>
      <c r="Z14" s="1"/>
    </row>
    <row r="15" spans="1:27">
      <c r="A15" s="99"/>
      <c r="B15" s="8" t="str">
        <f t="shared" si="0"/>
        <v>602</v>
      </c>
      <c r="C15" s="9">
        <v>81</v>
      </c>
      <c r="D15" s="9">
        <v>82</v>
      </c>
      <c r="E15" s="9">
        <v>83</v>
      </c>
      <c r="F15" s="9">
        <v>84</v>
      </c>
      <c r="G15" s="9">
        <v>85</v>
      </c>
      <c r="H15" s="95"/>
      <c r="I15" s="96"/>
      <c r="J15" s="96"/>
      <c r="K15" s="96"/>
      <c r="L15" s="97"/>
      <c r="M15" s="91"/>
      <c r="T15" s="93"/>
      <c r="U15" s="14" t="s">
        <v>11</v>
      </c>
      <c r="V15" s="13" cm="1">
        <f t="array" ref="V15">CountByColor(C28:L39, U15)</f>
        <v>0</v>
      </c>
      <c r="W15" s="73">
        <v>0</v>
      </c>
      <c r="Y15" s="1"/>
      <c r="Z15" s="1"/>
    </row>
    <row r="16" spans="1:27">
      <c r="A16" s="98">
        <v>7</v>
      </c>
      <c r="B16" s="8" t="str">
        <f t="shared" si="0"/>
        <v>701</v>
      </c>
      <c r="C16" s="9">
        <v>1</v>
      </c>
      <c r="D16" s="9">
        <v>2</v>
      </c>
      <c r="E16" s="9">
        <v>3</v>
      </c>
      <c r="F16" s="9">
        <v>4</v>
      </c>
      <c r="G16" s="9">
        <v>5</v>
      </c>
      <c r="H16" s="9">
        <v>11</v>
      </c>
      <c r="I16" s="9">
        <v>12</v>
      </c>
      <c r="J16" s="9">
        <v>13</v>
      </c>
      <c r="K16" s="9">
        <v>14</v>
      </c>
      <c r="L16" s="9">
        <v>15</v>
      </c>
      <c r="M16" s="91" t="s">
        <v>14</v>
      </c>
      <c r="T16" s="93"/>
      <c r="U16" s="15" t="s">
        <v>12</v>
      </c>
      <c r="V16" s="13" cm="1">
        <f t="array" ref="V16">CountByColor(C28:L39, U16)</f>
        <v>2</v>
      </c>
      <c r="W16" s="74">
        <v>2.2200000000000001E-2</v>
      </c>
      <c r="Y16" s="1"/>
      <c r="Z16" s="1"/>
    </row>
    <row r="17" spans="1:26">
      <c r="A17" s="99"/>
      <c r="B17" s="8" t="str">
        <f t="shared" si="0"/>
        <v>702</v>
      </c>
      <c r="C17" s="9">
        <v>6</v>
      </c>
      <c r="D17" s="10">
        <v>7</v>
      </c>
      <c r="E17" s="10">
        <v>8</v>
      </c>
      <c r="F17" s="9">
        <v>9</v>
      </c>
      <c r="G17" s="9">
        <v>10</v>
      </c>
      <c r="H17" s="95"/>
      <c r="I17" s="96"/>
      <c r="J17" s="96"/>
      <c r="K17" s="96"/>
      <c r="L17" s="97"/>
      <c r="M17" s="91"/>
      <c r="T17" s="94"/>
      <c r="U17" s="16" t="s">
        <v>13</v>
      </c>
      <c r="V17" s="13" cm="1">
        <f t="array" ref="V17">CountByColor(C28:L39, U17)</f>
        <v>88</v>
      </c>
      <c r="W17" s="74">
        <v>0.9778</v>
      </c>
      <c r="Y17" s="1"/>
      <c r="Z17" s="1"/>
    </row>
    <row r="18" spans="1:26">
      <c r="A18" s="98">
        <v>8</v>
      </c>
      <c r="B18" s="8" t="str">
        <f t="shared" si="0"/>
        <v>801</v>
      </c>
      <c r="C18" s="9">
        <v>16</v>
      </c>
      <c r="D18" s="9">
        <v>17</v>
      </c>
      <c r="E18" s="9">
        <v>18</v>
      </c>
      <c r="F18" s="9">
        <v>19</v>
      </c>
      <c r="G18" s="9">
        <v>20</v>
      </c>
      <c r="H18" s="31">
        <v>26</v>
      </c>
      <c r="I18" s="31">
        <v>27</v>
      </c>
      <c r="J18" s="31">
        <v>28</v>
      </c>
      <c r="K18" s="31">
        <v>29</v>
      </c>
      <c r="L18" s="32">
        <v>30</v>
      </c>
      <c r="M18" s="91"/>
      <c r="T18" s="1"/>
      <c r="Y18" s="1"/>
      <c r="Z18" s="1"/>
    </row>
    <row r="19" spans="1:26">
      <c r="A19" s="99"/>
      <c r="B19" s="8" t="str">
        <f t="shared" si="0"/>
        <v>802</v>
      </c>
      <c r="C19" s="9">
        <v>21</v>
      </c>
      <c r="D19" s="9">
        <v>22</v>
      </c>
      <c r="E19" s="9">
        <v>23</v>
      </c>
      <c r="F19" s="9">
        <v>24</v>
      </c>
      <c r="G19" s="9">
        <v>25</v>
      </c>
      <c r="H19" s="95"/>
      <c r="I19" s="96"/>
      <c r="J19" s="96"/>
      <c r="K19" s="96"/>
      <c r="L19" s="97"/>
      <c r="M19" s="91"/>
      <c r="T19" s="92" t="s">
        <v>16</v>
      </c>
      <c r="U19" s="12" t="s">
        <v>10</v>
      </c>
      <c r="V19" s="13">
        <f>SUM(V20:V22)</f>
        <v>105</v>
      </c>
      <c r="W19" s="73">
        <v>1</v>
      </c>
      <c r="Y19" s="1"/>
      <c r="Z19" s="1"/>
    </row>
    <row r="20" spans="1:26">
      <c r="A20" s="98">
        <v>9</v>
      </c>
      <c r="B20" s="8" t="str">
        <f t="shared" si="0"/>
        <v>901</v>
      </c>
      <c r="C20" s="9">
        <v>31</v>
      </c>
      <c r="D20" s="9">
        <v>32</v>
      </c>
      <c r="E20" s="9">
        <v>33</v>
      </c>
      <c r="F20" s="9">
        <v>34</v>
      </c>
      <c r="G20" s="9">
        <v>35</v>
      </c>
      <c r="H20" s="9">
        <v>41</v>
      </c>
      <c r="I20" s="9">
        <v>42</v>
      </c>
      <c r="J20" s="9">
        <v>43</v>
      </c>
      <c r="K20" s="9">
        <v>44</v>
      </c>
      <c r="L20" s="9">
        <v>45</v>
      </c>
      <c r="M20" s="91"/>
      <c r="T20" s="93"/>
      <c r="U20" s="14" t="s">
        <v>11</v>
      </c>
      <c r="V20" s="13" cm="1">
        <f t="array" ref="V20">CountByColor(C40:L53, U20)</f>
        <v>3</v>
      </c>
      <c r="W20" s="74">
        <v>2.86E-2</v>
      </c>
      <c r="Y20" s="1"/>
      <c r="Z20" s="1"/>
    </row>
    <row r="21" spans="1:26">
      <c r="A21" s="99"/>
      <c r="B21" s="8" t="str">
        <f t="shared" si="0"/>
        <v>902</v>
      </c>
      <c r="C21" s="9">
        <v>36</v>
      </c>
      <c r="D21" s="9">
        <v>37</v>
      </c>
      <c r="E21" s="9">
        <v>38</v>
      </c>
      <c r="F21" s="9">
        <v>39</v>
      </c>
      <c r="G21" s="9">
        <v>40</v>
      </c>
      <c r="H21" s="95"/>
      <c r="I21" s="96"/>
      <c r="J21" s="96"/>
      <c r="K21" s="96"/>
      <c r="L21" s="97"/>
      <c r="M21" s="91"/>
      <c r="S21" s="1"/>
      <c r="T21" s="93"/>
      <c r="U21" s="15" t="s">
        <v>12</v>
      </c>
      <c r="V21" s="13" cm="1">
        <f t="array" ref="V21">CountByColor(C40:L53, U21)</f>
        <v>3</v>
      </c>
      <c r="W21" s="74">
        <v>2.86E-2</v>
      </c>
      <c r="X21" s="1"/>
      <c r="Y21" s="1"/>
    </row>
    <row r="22" spans="1:26">
      <c r="A22" s="98">
        <v>10</v>
      </c>
      <c r="B22" s="8" t="str">
        <f t="shared" si="0"/>
        <v>1001</v>
      </c>
      <c r="C22" s="10">
        <v>46</v>
      </c>
      <c r="D22" s="9">
        <v>47</v>
      </c>
      <c r="E22" s="9">
        <v>48</v>
      </c>
      <c r="F22" s="9">
        <v>49</v>
      </c>
      <c r="G22" s="9">
        <v>50</v>
      </c>
      <c r="H22" s="31">
        <v>56</v>
      </c>
      <c r="I22" s="31">
        <v>57</v>
      </c>
      <c r="J22" s="31">
        <v>58</v>
      </c>
      <c r="K22" s="31">
        <v>59</v>
      </c>
      <c r="L22" s="31">
        <v>60</v>
      </c>
      <c r="M22" s="91"/>
      <c r="T22" s="94"/>
      <c r="U22" s="16" t="s">
        <v>13</v>
      </c>
      <c r="V22" s="13" cm="1">
        <f t="array" ref="V22">CountByColor(C40:L53, U22)</f>
        <v>99</v>
      </c>
      <c r="W22" s="74">
        <v>0.94289999999999996</v>
      </c>
      <c r="Y22" s="1"/>
      <c r="Z22" s="1"/>
    </row>
    <row r="23" spans="1:26">
      <c r="A23" s="99"/>
      <c r="B23" s="8" t="str">
        <f t="shared" si="0"/>
        <v>1002</v>
      </c>
      <c r="C23" s="9">
        <v>51</v>
      </c>
      <c r="D23" s="9">
        <v>52</v>
      </c>
      <c r="E23" s="9">
        <v>53</v>
      </c>
      <c r="F23" s="11">
        <v>54</v>
      </c>
      <c r="G23" s="9">
        <v>55</v>
      </c>
      <c r="H23" s="95"/>
      <c r="I23" s="96"/>
      <c r="J23" s="96"/>
      <c r="K23" s="96"/>
      <c r="L23" s="97"/>
      <c r="M23" s="91"/>
      <c r="T23" s="1"/>
      <c r="Y23" s="1"/>
      <c r="Z23" s="1"/>
    </row>
    <row r="24" spans="1:26">
      <c r="A24" s="98">
        <v>11</v>
      </c>
      <c r="B24" s="8" t="str">
        <f t="shared" si="0"/>
        <v>1101</v>
      </c>
      <c r="C24" s="9">
        <v>61</v>
      </c>
      <c r="D24" s="11">
        <v>62</v>
      </c>
      <c r="E24" s="9">
        <v>63</v>
      </c>
      <c r="F24" s="9">
        <v>64</v>
      </c>
      <c r="G24" s="9">
        <v>65</v>
      </c>
      <c r="H24" s="9">
        <v>71</v>
      </c>
      <c r="I24" s="9">
        <v>72</v>
      </c>
      <c r="J24" s="9">
        <v>73</v>
      </c>
      <c r="K24" s="9">
        <v>74</v>
      </c>
      <c r="L24" s="9">
        <v>75</v>
      </c>
      <c r="M24" s="91"/>
      <c r="T24" s="92" t="s">
        <v>19</v>
      </c>
      <c r="U24" s="12" t="s">
        <v>10</v>
      </c>
      <c r="V24" s="13">
        <f>SUM(V25:V27)</f>
        <v>90</v>
      </c>
      <c r="W24" s="73">
        <v>1</v>
      </c>
      <c r="Y24" s="1"/>
      <c r="Z24" s="1"/>
    </row>
    <row r="25" spans="1:26">
      <c r="A25" s="99"/>
      <c r="B25" s="8" t="str">
        <f t="shared" si="0"/>
        <v>1102</v>
      </c>
      <c r="C25" s="9">
        <v>66</v>
      </c>
      <c r="D25" s="9">
        <v>67</v>
      </c>
      <c r="E25" s="9">
        <v>68</v>
      </c>
      <c r="F25" s="9">
        <v>69</v>
      </c>
      <c r="G25" s="9">
        <v>70</v>
      </c>
      <c r="H25" s="95"/>
      <c r="I25" s="96"/>
      <c r="J25" s="96"/>
      <c r="K25" s="96"/>
      <c r="L25" s="97"/>
      <c r="M25" s="91"/>
      <c r="T25" s="93"/>
      <c r="U25" s="14" t="s">
        <v>11</v>
      </c>
      <c r="V25" s="13" cm="1">
        <f t="array" ref="V25">CountByColor(C54:L65, U25)</f>
        <v>3</v>
      </c>
      <c r="W25" s="74">
        <v>3.3300000000000003E-2</v>
      </c>
      <c r="Y25" s="1"/>
      <c r="Z25" s="1"/>
    </row>
    <row r="26" spans="1:26">
      <c r="A26" s="98">
        <v>12</v>
      </c>
      <c r="B26" s="8" t="str">
        <f t="shared" si="0"/>
        <v>1201</v>
      </c>
      <c r="C26" s="9">
        <v>76</v>
      </c>
      <c r="D26" s="9">
        <v>77</v>
      </c>
      <c r="E26" s="9">
        <v>78</v>
      </c>
      <c r="F26" s="9">
        <v>79</v>
      </c>
      <c r="G26" s="9">
        <v>80</v>
      </c>
      <c r="H26" s="31">
        <v>86</v>
      </c>
      <c r="I26" s="31">
        <v>87</v>
      </c>
      <c r="J26" s="31">
        <v>88</v>
      </c>
      <c r="K26" s="31">
        <v>89</v>
      </c>
      <c r="L26" s="31">
        <v>90</v>
      </c>
      <c r="M26" s="91"/>
      <c r="T26" s="93"/>
      <c r="U26" s="15" t="s">
        <v>12</v>
      </c>
      <c r="V26" s="13" cm="1">
        <f t="array" ref="V26">CountByColor(C54:L65, U26)</f>
        <v>0</v>
      </c>
      <c r="W26" s="73">
        <v>0</v>
      </c>
      <c r="Y26" s="1"/>
      <c r="Z26" s="1"/>
    </row>
    <row r="27" spans="1:26">
      <c r="A27" s="99"/>
      <c r="B27" s="8" t="str">
        <f t="shared" si="0"/>
        <v>1202</v>
      </c>
      <c r="C27" s="9">
        <v>81</v>
      </c>
      <c r="D27" s="9">
        <v>82</v>
      </c>
      <c r="E27" s="9">
        <v>83</v>
      </c>
      <c r="F27" s="9">
        <v>84</v>
      </c>
      <c r="G27" s="9">
        <v>85</v>
      </c>
      <c r="H27" s="95"/>
      <c r="I27" s="96"/>
      <c r="J27" s="96"/>
      <c r="K27" s="96"/>
      <c r="L27" s="97"/>
      <c r="M27" s="91"/>
      <c r="T27" s="94"/>
      <c r="U27" s="16" t="s">
        <v>13</v>
      </c>
      <c r="V27" s="13" cm="1">
        <f t="array" ref="V27">CountByColor(C54:L65, U27)</f>
        <v>87</v>
      </c>
      <c r="W27" s="74">
        <v>0.9667</v>
      </c>
      <c r="Y27" s="1"/>
      <c r="Z27" s="1"/>
    </row>
    <row r="28" spans="1:26">
      <c r="A28" s="98">
        <v>13</v>
      </c>
      <c r="B28" s="8" t="str">
        <f t="shared" si="0"/>
        <v>1301</v>
      </c>
      <c r="C28" s="9">
        <v>1</v>
      </c>
      <c r="D28" s="9">
        <v>2</v>
      </c>
      <c r="E28" s="9">
        <v>3</v>
      </c>
      <c r="F28" s="9">
        <v>4</v>
      </c>
      <c r="G28" s="9">
        <v>5</v>
      </c>
      <c r="H28" s="9">
        <v>11</v>
      </c>
      <c r="I28" s="9">
        <v>12</v>
      </c>
      <c r="J28" s="9">
        <v>13</v>
      </c>
      <c r="K28" s="9">
        <v>14</v>
      </c>
      <c r="L28" s="9">
        <v>15</v>
      </c>
      <c r="M28" s="91" t="s">
        <v>15</v>
      </c>
      <c r="T28" s="1"/>
      <c r="Y28" s="1"/>
      <c r="Z28" s="1"/>
    </row>
    <row r="29" spans="1:26">
      <c r="A29" s="99"/>
      <c r="B29" s="8" t="str">
        <f t="shared" si="0"/>
        <v>1302</v>
      </c>
      <c r="C29" s="9">
        <v>6</v>
      </c>
      <c r="D29" s="9">
        <v>7</v>
      </c>
      <c r="E29" s="9">
        <v>8</v>
      </c>
      <c r="F29" s="9">
        <v>9</v>
      </c>
      <c r="G29" s="9">
        <v>10</v>
      </c>
      <c r="H29" s="95"/>
      <c r="I29" s="96"/>
      <c r="J29" s="96"/>
      <c r="K29" s="96"/>
      <c r="L29" s="97"/>
      <c r="M29" s="91"/>
      <c r="T29" s="92" t="s">
        <v>20</v>
      </c>
      <c r="U29" s="12" t="s">
        <v>10</v>
      </c>
      <c r="V29" s="13">
        <f>SUM(V30:V32)</f>
        <v>90</v>
      </c>
      <c r="W29" s="73">
        <v>1</v>
      </c>
      <c r="Y29" s="1"/>
      <c r="Z29" s="1"/>
    </row>
    <row r="30" spans="1:26">
      <c r="A30" s="98">
        <v>14</v>
      </c>
      <c r="B30" s="8" t="str">
        <f t="shared" si="0"/>
        <v>1401</v>
      </c>
      <c r="C30" s="9">
        <v>16</v>
      </c>
      <c r="D30" s="9">
        <v>17</v>
      </c>
      <c r="E30" s="9">
        <v>18</v>
      </c>
      <c r="F30" s="9">
        <v>19</v>
      </c>
      <c r="G30" s="9">
        <v>20</v>
      </c>
      <c r="H30" s="31">
        <v>26</v>
      </c>
      <c r="I30" s="31">
        <v>27</v>
      </c>
      <c r="J30" s="31">
        <v>28</v>
      </c>
      <c r="K30" s="31">
        <v>29</v>
      </c>
      <c r="L30" s="31">
        <v>30</v>
      </c>
      <c r="M30" s="91"/>
      <c r="T30" s="93"/>
      <c r="U30" s="14" t="s">
        <v>11</v>
      </c>
      <c r="V30" s="13" cm="1">
        <f t="array" ref="V30">CountByColor(C66:L77, U30)</f>
        <v>1</v>
      </c>
      <c r="W30" s="74">
        <v>1.11E-2</v>
      </c>
      <c r="Y30" s="1"/>
      <c r="Z30" s="1"/>
    </row>
    <row r="31" spans="1:26">
      <c r="A31" s="99"/>
      <c r="B31" s="8" t="str">
        <f t="shared" si="0"/>
        <v>1402</v>
      </c>
      <c r="C31" s="9">
        <v>21</v>
      </c>
      <c r="D31" s="9">
        <v>22</v>
      </c>
      <c r="E31" s="9">
        <v>23</v>
      </c>
      <c r="F31" s="9">
        <v>24</v>
      </c>
      <c r="G31" s="9">
        <v>25</v>
      </c>
      <c r="H31" s="95"/>
      <c r="I31" s="96"/>
      <c r="J31" s="96"/>
      <c r="K31" s="96"/>
      <c r="L31" s="97"/>
      <c r="M31" s="91"/>
      <c r="P31" s="6"/>
      <c r="T31" s="93"/>
      <c r="U31" s="15" t="s">
        <v>12</v>
      </c>
      <c r="V31" s="13" cm="1">
        <f t="array" ref="V31">CountByColor(C66:L77, U31)</f>
        <v>3</v>
      </c>
      <c r="W31" s="74">
        <v>3.3300000000000003E-2</v>
      </c>
      <c r="Y31" s="1"/>
      <c r="Z31" s="1"/>
    </row>
    <row r="32" spans="1:26">
      <c r="A32" s="98">
        <v>15</v>
      </c>
      <c r="B32" s="8" t="str">
        <f t="shared" si="0"/>
        <v>1501</v>
      </c>
      <c r="C32" s="9">
        <v>31</v>
      </c>
      <c r="D32" s="9">
        <v>32</v>
      </c>
      <c r="E32" s="9">
        <v>33</v>
      </c>
      <c r="F32" s="9">
        <v>34</v>
      </c>
      <c r="G32" s="10">
        <v>35</v>
      </c>
      <c r="H32" s="9">
        <v>41</v>
      </c>
      <c r="I32" s="9">
        <v>42</v>
      </c>
      <c r="J32" s="9">
        <v>43</v>
      </c>
      <c r="K32" s="9">
        <v>44</v>
      </c>
      <c r="L32" s="9">
        <v>45</v>
      </c>
      <c r="M32" s="91"/>
      <c r="P32" s="6"/>
      <c r="T32" s="94"/>
      <c r="U32" s="16" t="s">
        <v>13</v>
      </c>
      <c r="V32" s="13" cm="1">
        <f t="array" ref="V32">CountByColor(C66:L77, U32)</f>
        <v>86</v>
      </c>
      <c r="W32" s="74">
        <v>0.9556</v>
      </c>
      <c r="Y32" s="1"/>
      <c r="Z32" s="1"/>
    </row>
    <row r="33" spans="1:26">
      <c r="A33" s="99"/>
      <c r="B33" s="8" t="str">
        <f t="shared" si="0"/>
        <v>1502</v>
      </c>
      <c r="C33" s="9">
        <v>36</v>
      </c>
      <c r="D33" s="9">
        <v>37</v>
      </c>
      <c r="E33" s="9">
        <v>38</v>
      </c>
      <c r="F33" s="9">
        <v>39</v>
      </c>
      <c r="G33" s="9">
        <v>40</v>
      </c>
      <c r="H33" s="95"/>
      <c r="I33" s="96"/>
      <c r="J33" s="96"/>
      <c r="K33" s="96"/>
      <c r="L33" s="97"/>
      <c r="M33" s="91"/>
      <c r="P33" s="6"/>
      <c r="T33" s="1"/>
      <c r="Y33" s="1"/>
      <c r="Z33" s="1"/>
    </row>
    <row r="34" spans="1:26">
      <c r="A34" s="98">
        <v>16</v>
      </c>
      <c r="B34" s="8" t="str">
        <f t="shared" si="0"/>
        <v>1601</v>
      </c>
      <c r="C34" s="9">
        <v>46</v>
      </c>
      <c r="D34" s="9">
        <v>47</v>
      </c>
      <c r="E34" s="9">
        <v>48</v>
      </c>
      <c r="F34" s="9">
        <v>49</v>
      </c>
      <c r="G34" s="9">
        <v>50</v>
      </c>
      <c r="H34" s="31">
        <v>56</v>
      </c>
      <c r="I34" s="31">
        <v>57</v>
      </c>
      <c r="J34" s="31">
        <v>58</v>
      </c>
      <c r="K34" s="31">
        <v>59</v>
      </c>
      <c r="L34" s="32">
        <v>60</v>
      </c>
      <c r="M34" s="91"/>
      <c r="P34" s="6"/>
      <c r="T34" s="92" t="s">
        <v>21</v>
      </c>
      <c r="U34" s="12" t="s">
        <v>10</v>
      </c>
      <c r="V34" s="13">
        <f>SUM(V35:V37)</f>
        <v>90</v>
      </c>
      <c r="W34" s="73">
        <v>1</v>
      </c>
      <c r="Y34" s="1"/>
      <c r="Z34" s="1"/>
    </row>
    <row r="35" spans="1:26">
      <c r="A35" s="99"/>
      <c r="B35" s="8" t="str">
        <f t="shared" si="0"/>
        <v>1602</v>
      </c>
      <c r="C35" s="9">
        <v>51</v>
      </c>
      <c r="D35" s="9">
        <v>52</v>
      </c>
      <c r="E35" s="9">
        <v>53</v>
      </c>
      <c r="F35" s="9">
        <v>54</v>
      </c>
      <c r="G35" s="9">
        <v>55</v>
      </c>
      <c r="H35" s="95"/>
      <c r="I35" s="96"/>
      <c r="J35" s="96"/>
      <c r="K35" s="96"/>
      <c r="L35" s="97"/>
      <c r="M35" s="91"/>
      <c r="P35" s="6"/>
      <c r="T35" s="93"/>
      <c r="U35" s="14" t="s">
        <v>11</v>
      </c>
      <c r="V35" s="13" cm="1">
        <f t="array" ref="V35">CountByColor(C78:L89, U35)</f>
        <v>0</v>
      </c>
      <c r="W35" s="73">
        <v>0</v>
      </c>
      <c r="Y35" s="1"/>
      <c r="Z35" s="1"/>
    </row>
    <row r="36" spans="1:26">
      <c r="A36" s="98">
        <v>17</v>
      </c>
      <c r="B36" s="8" t="str">
        <f t="shared" si="0"/>
        <v>1701</v>
      </c>
      <c r="C36" s="9">
        <v>61</v>
      </c>
      <c r="D36" s="9">
        <v>62</v>
      </c>
      <c r="E36" s="9">
        <v>63</v>
      </c>
      <c r="F36" s="9">
        <v>64</v>
      </c>
      <c r="G36" s="9">
        <v>65</v>
      </c>
      <c r="H36" s="9">
        <v>71</v>
      </c>
      <c r="I36" s="9">
        <v>72</v>
      </c>
      <c r="J36" s="9">
        <v>73</v>
      </c>
      <c r="K36" s="9">
        <v>74</v>
      </c>
      <c r="L36" s="9">
        <v>75</v>
      </c>
      <c r="M36" s="91"/>
      <c r="O36" s="1"/>
      <c r="P36" s="6"/>
      <c r="T36" s="93"/>
      <c r="U36" s="15" t="s">
        <v>12</v>
      </c>
      <c r="V36" s="13" cm="1">
        <f t="array" ref="V36">CountByColor(C78:L89, U36)</f>
        <v>0</v>
      </c>
      <c r="W36" s="73">
        <v>0</v>
      </c>
      <c r="Y36" s="1"/>
      <c r="Z36" s="1"/>
    </row>
    <row r="37" spans="1:26">
      <c r="A37" s="99"/>
      <c r="B37" s="8" t="str">
        <f t="shared" si="0"/>
        <v>1702</v>
      </c>
      <c r="C37" s="9">
        <v>66</v>
      </c>
      <c r="D37" s="9">
        <v>67</v>
      </c>
      <c r="E37" s="9">
        <v>68</v>
      </c>
      <c r="F37" s="9">
        <v>69</v>
      </c>
      <c r="G37" s="9">
        <v>70</v>
      </c>
      <c r="H37" s="95"/>
      <c r="I37" s="96"/>
      <c r="J37" s="96"/>
      <c r="K37" s="96"/>
      <c r="L37" s="97"/>
      <c r="M37" s="91"/>
      <c r="O37" s="1"/>
      <c r="P37" s="6"/>
      <c r="T37" s="94"/>
      <c r="U37" s="16" t="s">
        <v>13</v>
      </c>
      <c r="V37" s="13" cm="1">
        <f t="array" ref="V37">CountByColor(C78:L89, U37)</f>
        <v>90</v>
      </c>
      <c r="W37" s="73">
        <v>1</v>
      </c>
      <c r="Y37" s="1"/>
      <c r="Z37" s="1"/>
    </row>
    <row r="38" spans="1:26">
      <c r="A38" s="98">
        <v>18</v>
      </c>
      <c r="B38" s="8" t="str">
        <f t="shared" si="0"/>
        <v>1801</v>
      </c>
      <c r="C38" s="9">
        <v>76</v>
      </c>
      <c r="D38" s="9">
        <v>77</v>
      </c>
      <c r="E38" s="9">
        <v>78</v>
      </c>
      <c r="F38" s="9">
        <v>79</v>
      </c>
      <c r="G38" s="9">
        <v>80</v>
      </c>
      <c r="H38" s="31">
        <v>86</v>
      </c>
      <c r="I38" s="31">
        <v>87</v>
      </c>
      <c r="J38" s="31">
        <v>88</v>
      </c>
      <c r="K38" s="31">
        <v>89</v>
      </c>
      <c r="L38" s="31">
        <v>90</v>
      </c>
      <c r="M38" s="91"/>
      <c r="O38" s="1"/>
      <c r="T38" s="1"/>
      <c r="Y38" s="1"/>
      <c r="Z38" s="1"/>
    </row>
    <row r="39" spans="1:26">
      <c r="A39" s="99"/>
      <c r="B39" s="8" t="str">
        <f t="shared" si="0"/>
        <v>1802</v>
      </c>
      <c r="C39" s="9">
        <v>81</v>
      </c>
      <c r="D39" s="9">
        <v>82</v>
      </c>
      <c r="E39" s="9">
        <v>83</v>
      </c>
      <c r="F39" s="9">
        <v>84</v>
      </c>
      <c r="G39" s="9">
        <v>85</v>
      </c>
      <c r="H39" s="95"/>
      <c r="I39" s="96"/>
      <c r="J39" s="96"/>
      <c r="K39" s="96"/>
      <c r="L39" s="97"/>
      <c r="M39" s="91"/>
      <c r="O39" s="17"/>
      <c r="T39" s="92" t="s">
        <v>22</v>
      </c>
      <c r="U39" s="12" t="s">
        <v>10</v>
      </c>
      <c r="V39" s="13">
        <f>SUM(V40:V42)</f>
        <v>105</v>
      </c>
      <c r="W39" s="73">
        <v>1</v>
      </c>
      <c r="Y39" s="1"/>
      <c r="Z39" s="1"/>
    </row>
    <row r="40" spans="1:26">
      <c r="A40" s="98">
        <v>19</v>
      </c>
      <c r="B40" s="8" t="str">
        <f t="shared" si="0"/>
        <v>1901</v>
      </c>
      <c r="C40" s="9">
        <v>1</v>
      </c>
      <c r="D40" s="9">
        <v>2</v>
      </c>
      <c r="E40" s="9">
        <v>3</v>
      </c>
      <c r="F40" s="9">
        <v>4</v>
      </c>
      <c r="G40" s="9">
        <v>5</v>
      </c>
      <c r="H40" s="9">
        <v>11</v>
      </c>
      <c r="I40" s="9">
        <v>12</v>
      </c>
      <c r="J40" s="9">
        <v>13</v>
      </c>
      <c r="K40" s="9">
        <v>14</v>
      </c>
      <c r="L40" s="9">
        <v>15</v>
      </c>
      <c r="M40" s="100" t="s">
        <v>16</v>
      </c>
      <c r="N40" s="1"/>
      <c r="O40" s="6"/>
      <c r="S40" s="1"/>
      <c r="T40" s="93"/>
      <c r="U40" s="14" t="s">
        <v>11</v>
      </c>
      <c r="V40" s="13" cm="1">
        <f t="array" ref="V40">CountByColor(C90:L103, U40)</f>
        <v>0</v>
      </c>
      <c r="W40" s="73">
        <v>0</v>
      </c>
      <c r="X40" s="1"/>
      <c r="Y40" s="1"/>
    </row>
    <row r="41" spans="1:26">
      <c r="A41" s="99"/>
      <c r="B41" s="8" t="str">
        <f t="shared" si="0"/>
        <v>1902</v>
      </c>
      <c r="C41" s="9">
        <v>6</v>
      </c>
      <c r="D41" s="9">
        <v>7</v>
      </c>
      <c r="E41" s="9">
        <v>8</v>
      </c>
      <c r="F41" s="9">
        <v>9</v>
      </c>
      <c r="G41" s="9">
        <v>10</v>
      </c>
      <c r="H41" s="95"/>
      <c r="I41" s="96"/>
      <c r="J41" s="96"/>
      <c r="K41" s="96"/>
      <c r="L41" s="97"/>
      <c r="M41" s="101"/>
      <c r="N41" s="1"/>
      <c r="O41" s="6"/>
      <c r="S41" s="1"/>
      <c r="T41" s="93"/>
      <c r="U41" s="15" t="s">
        <v>12</v>
      </c>
      <c r="V41" s="13" cm="1">
        <f t="array" ref="V41">CountByColor(C90:L103, U41)</f>
        <v>0</v>
      </c>
      <c r="W41" s="73">
        <v>0</v>
      </c>
      <c r="X41" s="1"/>
      <c r="Y41" s="1"/>
    </row>
    <row r="42" spans="1:26">
      <c r="A42" s="98">
        <v>20</v>
      </c>
      <c r="B42" s="8" t="str">
        <f t="shared" si="0"/>
        <v>2001</v>
      </c>
      <c r="C42" s="9">
        <v>16</v>
      </c>
      <c r="D42" s="9">
        <v>17</v>
      </c>
      <c r="E42" s="9">
        <v>18</v>
      </c>
      <c r="F42" s="9">
        <v>19</v>
      </c>
      <c r="G42" s="9">
        <v>20</v>
      </c>
      <c r="H42" s="31">
        <v>26</v>
      </c>
      <c r="I42" s="31">
        <v>27</v>
      </c>
      <c r="J42" s="31">
        <v>28</v>
      </c>
      <c r="K42" s="31">
        <v>29</v>
      </c>
      <c r="L42" s="31">
        <v>30</v>
      </c>
      <c r="M42" s="101"/>
      <c r="N42" s="1"/>
      <c r="O42" s="6"/>
      <c r="S42" s="1"/>
      <c r="T42" s="94"/>
      <c r="U42" s="16" t="s">
        <v>13</v>
      </c>
      <c r="V42" s="13" cm="1">
        <f t="array" ref="V42">CountByColor(C90:L103, U42)</f>
        <v>105</v>
      </c>
      <c r="W42" s="73">
        <v>1</v>
      </c>
      <c r="Y42" s="1"/>
    </row>
    <row r="43" spans="1:26">
      <c r="A43" s="99"/>
      <c r="B43" s="8" t="str">
        <f t="shared" si="0"/>
        <v>2002</v>
      </c>
      <c r="C43" s="9">
        <v>21</v>
      </c>
      <c r="D43" s="9">
        <v>22</v>
      </c>
      <c r="E43" s="9">
        <v>23</v>
      </c>
      <c r="F43" s="11">
        <v>24</v>
      </c>
      <c r="G43" s="9">
        <v>25</v>
      </c>
      <c r="H43" s="95"/>
      <c r="I43" s="96"/>
      <c r="J43" s="96"/>
      <c r="K43" s="96"/>
      <c r="L43" s="97"/>
      <c r="M43" s="101"/>
      <c r="N43" s="1"/>
      <c r="O43" s="6"/>
      <c r="S43" s="1"/>
      <c r="X43" s="1"/>
      <c r="Y43" s="1"/>
    </row>
    <row r="44" spans="1:26">
      <c r="A44" s="98">
        <v>21</v>
      </c>
      <c r="B44" s="8" t="str">
        <f t="shared" si="0"/>
        <v>2101</v>
      </c>
      <c r="C44" s="9">
        <v>31</v>
      </c>
      <c r="D44" s="9">
        <v>32</v>
      </c>
      <c r="E44" s="10">
        <v>33</v>
      </c>
      <c r="F44" s="9">
        <v>34</v>
      </c>
      <c r="G44" s="9">
        <v>35</v>
      </c>
      <c r="H44" s="9">
        <v>41</v>
      </c>
      <c r="I44" s="9">
        <v>42</v>
      </c>
      <c r="J44" s="9">
        <v>43</v>
      </c>
      <c r="K44" s="9">
        <v>44</v>
      </c>
      <c r="L44" s="9">
        <v>45</v>
      </c>
      <c r="M44" s="101"/>
      <c r="N44" s="1"/>
      <c r="O44" s="6"/>
      <c r="S44" s="1"/>
      <c r="X44" s="1"/>
      <c r="Y44" s="1"/>
    </row>
    <row r="45" spans="1:26">
      <c r="A45" s="99"/>
      <c r="B45" s="8" t="str">
        <f t="shared" si="0"/>
        <v>2102</v>
      </c>
      <c r="C45" s="9">
        <v>36</v>
      </c>
      <c r="D45" s="9">
        <v>37</v>
      </c>
      <c r="E45" s="9">
        <v>38</v>
      </c>
      <c r="F45" s="9">
        <v>39</v>
      </c>
      <c r="G45" s="9">
        <v>40</v>
      </c>
      <c r="H45" s="95"/>
      <c r="I45" s="96"/>
      <c r="J45" s="96"/>
      <c r="K45" s="96"/>
      <c r="L45" s="97"/>
      <c r="M45" s="101"/>
      <c r="N45" s="1"/>
      <c r="O45" s="6"/>
      <c r="S45" s="1"/>
      <c r="X45" s="1"/>
      <c r="Y45" s="1"/>
    </row>
    <row r="46" spans="1:26">
      <c r="A46" s="98">
        <v>22</v>
      </c>
      <c r="B46" s="8" t="str">
        <f t="shared" si="0"/>
        <v>2201</v>
      </c>
      <c r="C46" s="9">
        <v>46</v>
      </c>
      <c r="D46" s="9">
        <v>47</v>
      </c>
      <c r="E46" s="9">
        <v>48</v>
      </c>
      <c r="F46" s="9">
        <v>49</v>
      </c>
      <c r="G46" s="9">
        <v>50</v>
      </c>
      <c r="H46" s="31">
        <v>56</v>
      </c>
      <c r="I46" s="31">
        <v>57</v>
      </c>
      <c r="J46" s="31">
        <v>58</v>
      </c>
      <c r="K46" s="31">
        <v>59</v>
      </c>
      <c r="L46" s="31">
        <v>60</v>
      </c>
      <c r="M46" s="101"/>
      <c r="N46" s="1"/>
      <c r="O46" s="6"/>
      <c r="S46" s="1"/>
      <c r="X46" s="1"/>
      <c r="Y46" s="1"/>
    </row>
    <row r="47" spans="1:26">
      <c r="A47" s="99"/>
      <c r="B47" s="8" t="str">
        <f t="shared" si="0"/>
        <v>2202</v>
      </c>
      <c r="C47" s="9">
        <v>51</v>
      </c>
      <c r="D47" s="9">
        <v>52</v>
      </c>
      <c r="E47" s="9">
        <v>53</v>
      </c>
      <c r="F47" s="9">
        <v>54</v>
      </c>
      <c r="G47" s="9">
        <v>55</v>
      </c>
      <c r="H47" s="95"/>
      <c r="I47" s="96"/>
      <c r="J47" s="96"/>
      <c r="K47" s="96"/>
      <c r="L47" s="97"/>
      <c r="M47" s="101"/>
      <c r="N47" s="1"/>
      <c r="O47" s="6"/>
      <c r="S47" s="1"/>
      <c r="X47" s="1"/>
      <c r="Y47" s="1"/>
    </row>
    <row r="48" spans="1:26">
      <c r="A48" s="98">
        <v>23</v>
      </c>
      <c r="B48" s="8" t="str">
        <f t="shared" si="0"/>
        <v>2301</v>
      </c>
      <c r="C48" s="9">
        <v>61</v>
      </c>
      <c r="D48" s="9">
        <v>62</v>
      </c>
      <c r="E48" s="9">
        <v>63</v>
      </c>
      <c r="F48" s="9">
        <v>64</v>
      </c>
      <c r="G48" s="9">
        <v>65</v>
      </c>
      <c r="H48" s="9">
        <v>71</v>
      </c>
      <c r="I48" s="9">
        <v>72</v>
      </c>
      <c r="J48" s="9">
        <v>73</v>
      </c>
      <c r="K48" s="9">
        <v>74</v>
      </c>
      <c r="L48" s="9">
        <v>75</v>
      </c>
      <c r="M48" s="101"/>
      <c r="N48" s="1"/>
      <c r="O48" s="6"/>
      <c r="P48" s="6"/>
      <c r="S48" s="1"/>
      <c r="X48" s="1"/>
      <c r="Y48" s="1"/>
    </row>
    <row r="49" spans="1:25">
      <c r="A49" s="99"/>
      <c r="B49" s="8" t="str">
        <f t="shared" si="0"/>
        <v>2302</v>
      </c>
      <c r="C49" s="9">
        <v>66</v>
      </c>
      <c r="D49" s="9">
        <v>67</v>
      </c>
      <c r="E49" s="9">
        <v>68</v>
      </c>
      <c r="F49" s="9">
        <v>69</v>
      </c>
      <c r="G49" s="9">
        <v>70</v>
      </c>
      <c r="H49" s="95"/>
      <c r="I49" s="96"/>
      <c r="J49" s="96"/>
      <c r="K49" s="96"/>
      <c r="L49" s="97"/>
      <c r="M49" s="101"/>
      <c r="N49" s="1"/>
      <c r="O49" s="6"/>
      <c r="P49" s="6"/>
      <c r="S49" s="1"/>
      <c r="X49" s="1"/>
      <c r="Y49" s="1"/>
    </row>
    <row r="50" spans="1:25">
      <c r="A50" s="98">
        <v>24</v>
      </c>
      <c r="B50" s="8" t="str">
        <f t="shared" si="0"/>
        <v>2401</v>
      </c>
      <c r="C50" s="9">
        <v>76</v>
      </c>
      <c r="D50" s="9">
        <v>77</v>
      </c>
      <c r="E50" s="9">
        <v>78</v>
      </c>
      <c r="F50" s="9">
        <v>79</v>
      </c>
      <c r="G50" s="9">
        <v>80</v>
      </c>
      <c r="H50" s="31">
        <v>86</v>
      </c>
      <c r="I50" s="31">
        <v>87</v>
      </c>
      <c r="J50" s="31">
        <v>88</v>
      </c>
      <c r="K50" s="31">
        <v>89</v>
      </c>
      <c r="L50" s="31">
        <v>90</v>
      </c>
      <c r="M50" s="101"/>
      <c r="P50" s="6"/>
    </row>
    <row r="51" spans="1:25">
      <c r="A51" s="99"/>
      <c r="B51" s="8" t="str">
        <f t="shared" si="0"/>
        <v>2402</v>
      </c>
      <c r="C51" s="9">
        <v>81</v>
      </c>
      <c r="D51" s="11">
        <v>82</v>
      </c>
      <c r="E51" s="9">
        <v>83</v>
      </c>
      <c r="F51" s="9">
        <v>84</v>
      </c>
      <c r="G51" s="9">
        <v>85</v>
      </c>
      <c r="H51" s="95"/>
      <c r="I51" s="96"/>
      <c r="J51" s="96"/>
      <c r="K51" s="96"/>
      <c r="L51" s="97"/>
      <c r="M51" s="101"/>
      <c r="P51" s="6"/>
    </row>
    <row r="52" spans="1:25">
      <c r="A52" s="98">
        <v>25</v>
      </c>
      <c r="B52" s="8" t="str">
        <f t="shared" si="0"/>
        <v>2501</v>
      </c>
      <c r="C52" s="10">
        <v>91</v>
      </c>
      <c r="D52" s="9">
        <v>92</v>
      </c>
      <c r="E52" s="9">
        <v>93</v>
      </c>
      <c r="F52" s="9">
        <v>94</v>
      </c>
      <c r="G52" s="9">
        <v>95</v>
      </c>
      <c r="H52" s="9">
        <v>101</v>
      </c>
      <c r="I52" s="11">
        <v>102</v>
      </c>
      <c r="J52" s="9">
        <v>103</v>
      </c>
      <c r="K52" s="9">
        <v>104</v>
      </c>
      <c r="L52" s="9">
        <v>105</v>
      </c>
      <c r="M52" s="101"/>
      <c r="P52" s="6"/>
    </row>
    <row r="53" spans="1:25">
      <c r="A53" s="99"/>
      <c r="B53" s="8" t="str">
        <f t="shared" si="0"/>
        <v>2502</v>
      </c>
      <c r="C53" s="10">
        <v>96</v>
      </c>
      <c r="D53" s="9">
        <v>97</v>
      </c>
      <c r="E53" s="9">
        <v>98</v>
      </c>
      <c r="F53" s="9">
        <v>99</v>
      </c>
      <c r="G53" s="9">
        <v>100</v>
      </c>
      <c r="H53" s="95"/>
      <c r="I53" s="96"/>
      <c r="J53" s="96"/>
      <c r="K53" s="96"/>
      <c r="L53" s="97"/>
      <c r="M53" s="102"/>
      <c r="P53" s="6"/>
    </row>
    <row r="54" spans="1:25">
      <c r="A54" s="80">
        <v>1</v>
      </c>
      <c r="B54" s="8">
        <f>(INT((ROW()-54)/2)+1)*100 + (MOD(ROW()-54,2)+3)</f>
        <v>103</v>
      </c>
      <c r="C54" s="9">
        <v>1</v>
      </c>
      <c r="D54" s="9">
        <v>2</v>
      </c>
      <c r="E54" s="9">
        <v>3</v>
      </c>
      <c r="F54" s="9">
        <v>4</v>
      </c>
      <c r="G54" s="9">
        <v>5</v>
      </c>
      <c r="H54" s="9">
        <v>11</v>
      </c>
      <c r="I54" s="9">
        <v>12</v>
      </c>
      <c r="J54" s="9">
        <v>13</v>
      </c>
      <c r="K54" s="9">
        <v>14</v>
      </c>
      <c r="L54" s="9">
        <v>15</v>
      </c>
      <c r="M54" s="91" t="s">
        <v>18</v>
      </c>
      <c r="P54" s="6"/>
    </row>
    <row r="55" spans="1:25">
      <c r="A55" s="80"/>
      <c r="B55" s="8">
        <f t="shared" ref="B55:B103" si="1">(INT((ROW()-54)/2)+1)*100 + (MOD(ROW()-54,2)+3)</f>
        <v>104</v>
      </c>
      <c r="C55" s="9">
        <v>6</v>
      </c>
      <c r="D55" s="9">
        <v>7</v>
      </c>
      <c r="E55" s="9">
        <v>8</v>
      </c>
      <c r="F55" s="9">
        <v>9</v>
      </c>
      <c r="G55" s="9">
        <v>10</v>
      </c>
      <c r="H55" s="95"/>
      <c r="I55" s="96"/>
      <c r="J55" s="96"/>
      <c r="K55" s="96"/>
      <c r="L55" s="97"/>
      <c r="M55" s="91"/>
      <c r="P55" s="6"/>
    </row>
    <row r="56" spans="1:25">
      <c r="A56" s="80">
        <v>2</v>
      </c>
      <c r="B56" s="8">
        <f t="shared" si="1"/>
        <v>203</v>
      </c>
      <c r="C56" s="9">
        <v>16</v>
      </c>
      <c r="D56" s="9">
        <v>17</v>
      </c>
      <c r="E56" s="9">
        <v>18</v>
      </c>
      <c r="F56" s="9">
        <v>19</v>
      </c>
      <c r="G56" s="9">
        <v>20</v>
      </c>
      <c r="H56" s="31">
        <v>26</v>
      </c>
      <c r="I56" s="31">
        <v>27</v>
      </c>
      <c r="J56" s="31">
        <v>28</v>
      </c>
      <c r="K56" s="31">
        <v>29</v>
      </c>
      <c r="L56" s="31">
        <v>30</v>
      </c>
      <c r="M56" s="91"/>
      <c r="P56" s="6"/>
    </row>
    <row r="57" spans="1:25">
      <c r="A57" s="80"/>
      <c r="B57" s="8">
        <f t="shared" si="1"/>
        <v>204</v>
      </c>
      <c r="C57" s="9">
        <v>21</v>
      </c>
      <c r="D57" s="9">
        <v>22</v>
      </c>
      <c r="E57" s="9">
        <v>23</v>
      </c>
      <c r="F57" s="9">
        <v>24</v>
      </c>
      <c r="G57" s="9">
        <v>25</v>
      </c>
      <c r="H57" s="103"/>
      <c r="I57" s="104"/>
      <c r="J57" s="104"/>
      <c r="K57" s="104"/>
      <c r="L57" s="105"/>
      <c r="M57" s="91"/>
      <c r="P57" s="6"/>
    </row>
    <row r="58" spans="1:25">
      <c r="A58" s="80">
        <v>3</v>
      </c>
      <c r="B58" s="8">
        <f t="shared" si="1"/>
        <v>303</v>
      </c>
      <c r="C58" s="9">
        <v>31</v>
      </c>
      <c r="D58" s="9">
        <v>32</v>
      </c>
      <c r="E58" s="9">
        <v>33</v>
      </c>
      <c r="F58" s="9">
        <v>34</v>
      </c>
      <c r="G58" s="9">
        <v>35</v>
      </c>
      <c r="H58" s="9">
        <v>41</v>
      </c>
      <c r="I58" s="9">
        <v>42</v>
      </c>
      <c r="J58" s="9">
        <v>43</v>
      </c>
      <c r="K58" s="9">
        <v>44</v>
      </c>
      <c r="L58" s="9">
        <v>45</v>
      </c>
      <c r="M58" s="91"/>
      <c r="P58" s="6"/>
    </row>
    <row r="59" spans="1:25">
      <c r="A59" s="80"/>
      <c r="B59" s="8">
        <f t="shared" si="1"/>
        <v>304</v>
      </c>
      <c r="C59" s="9">
        <v>36</v>
      </c>
      <c r="D59" s="9">
        <v>37</v>
      </c>
      <c r="E59" s="9">
        <v>38</v>
      </c>
      <c r="F59" s="9">
        <v>39</v>
      </c>
      <c r="G59" s="9">
        <v>40</v>
      </c>
      <c r="H59" s="103"/>
      <c r="I59" s="104"/>
      <c r="J59" s="104"/>
      <c r="K59" s="104"/>
      <c r="L59" s="105"/>
      <c r="M59" s="91"/>
      <c r="P59" s="6"/>
    </row>
    <row r="60" spans="1:25">
      <c r="A60" s="80">
        <v>4</v>
      </c>
      <c r="B60" s="8">
        <f t="shared" si="1"/>
        <v>403</v>
      </c>
      <c r="C60" s="9">
        <v>46</v>
      </c>
      <c r="D60" s="9">
        <v>47</v>
      </c>
      <c r="E60" s="9">
        <v>48</v>
      </c>
      <c r="F60" s="9">
        <v>49</v>
      </c>
      <c r="G60" s="9">
        <v>50</v>
      </c>
      <c r="H60" s="31">
        <v>56</v>
      </c>
      <c r="I60" s="61">
        <v>57</v>
      </c>
      <c r="J60" s="31">
        <v>58</v>
      </c>
      <c r="K60" s="31">
        <v>59</v>
      </c>
      <c r="L60" s="31">
        <v>60</v>
      </c>
      <c r="M60" s="91"/>
      <c r="P60" s="6"/>
    </row>
    <row r="61" spans="1:25">
      <c r="A61" s="80"/>
      <c r="B61" s="8">
        <f t="shared" si="1"/>
        <v>404</v>
      </c>
      <c r="C61" s="9">
        <v>51</v>
      </c>
      <c r="D61" s="9">
        <v>52</v>
      </c>
      <c r="E61" s="9">
        <v>53</v>
      </c>
      <c r="F61" s="9">
        <v>54</v>
      </c>
      <c r="G61" s="9">
        <v>55</v>
      </c>
      <c r="H61" s="95"/>
      <c r="I61" s="96"/>
      <c r="J61" s="96"/>
      <c r="K61" s="96"/>
      <c r="L61" s="97"/>
      <c r="M61" s="91"/>
      <c r="P61" s="6"/>
    </row>
    <row r="62" spans="1:25">
      <c r="A62" s="80">
        <v>5</v>
      </c>
      <c r="B62" s="8">
        <f t="shared" si="1"/>
        <v>503</v>
      </c>
      <c r="C62" s="9">
        <v>61</v>
      </c>
      <c r="D62" s="9">
        <v>62</v>
      </c>
      <c r="E62" s="9">
        <v>63</v>
      </c>
      <c r="F62" s="9">
        <v>64</v>
      </c>
      <c r="G62" s="9">
        <v>65</v>
      </c>
      <c r="H62" s="9">
        <v>71</v>
      </c>
      <c r="I62" s="9">
        <v>72</v>
      </c>
      <c r="J62" s="9">
        <v>73</v>
      </c>
      <c r="K62" s="9">
        <v>74</v>
      </c>
      <c r="L62" s="9">
        <v>75</v>
      </c>
      <c r="M62" s="91"/>
      <c r="P62" s="6"/>
    </row>
    <row r="63" spans="1:25">
      <c r="A63" s="80"/>
      <c r="B63" s="8">
        <f t="shared" si="1"/>
        <v>504</v>
      </c>
      <c r="C63" s="9">
        <v>66</v>
      </c>
      <c r="D63" s="9">
        <v>67</v>
      </c>
      <c r="E63" s="9">
        <v>68</v>
      </c>
      <c r="F63" s="11">
        <v>69</v>
      </c>
      <c r="G63" s="9">
        <v>70</v>
      </c>
      <c r="H63" s="95"/>
      <c r="I63" s="96"/>
      <c r="J63" s="96"/>
      <c r="K63" s="96"/>
      <c r="L63" s="97"/>
      <c r="M63" s="91"/>
      <c r="P63" s="6"/>
    </row>
    <row r="64" spans="1:25">
      <c r="A64" s="80">
        <v>6</v>
      </c>
      <c r="B64" s="8">
        <f t="shared" si="1"/>
        <v>603</v>
      </c>
      <c r="C64" s="9">
        <v>76</v>
      </c>
      <c r="D64" s="9">
        <v>77</v>
      </c>
      <c r="E64" s="9">
        <v>78</v>
      </c>
      <c r="F64" s="9">
        <v>79</v>
      </c>
      <c r="G64" s="9">
        <v>80</v>
      </c>
      <c r="H64" s="31">
        <v>86</v>
      </c>
      <c r="I64" s="61">
        <v>87</v>
      </c>
      <c r="J64" s="31">
        <v>88</v>
      </c>
      <c r="K64" s="31">
        <v>89</v>
      </c>
      <c r="L64" s="31">
        <v>90</v>
      </c>
      <c r="M64" s="91"/>
      <c r="P64" s="6"/>
    </row>
    <row r="65" spans="1:16">
      <c r="A65" s="80"/>
      <c r="B65" s="8">
        <f t="shared" si="1"/>
        <v>604</v>
      </c>
      <c r="C65" s="9">
        <v>81</v>
      </c>
      <c r="D65" s="9">
        <v>82</v>
      </c>
      <c r="E65" s="9">
        <v>83</v>
      </c>
      <c r="F65" s="9">
        <v>84</v>
      </c>
      <c r="G65" s="9">
        <v>85</v>
      </c>
      <c r="H65" s="95"/>
      <c r="I65" s="96"/>
      <c r="J65" s="96"/>
      <c r="K65" s="96"/>
      <c r="L65" s="97"/>
      <c r="M65" s="91"/>
      <c r="P65" s="6"/>
    </row>
    <row r="66" spans="1:16">
      <c r="A66" s="80">
        <v>7</v>
      </c>
      <c r="B66" s="8">
        <f t="shared" si="1"/>
        <v>703</v>
      </c>
      <c r="C66" s="9">
        <v>1</v>
      </c>
      <c r="D66" s="9">
        <v>2</v>
      </c>
      <c r="E66" s="9">
        <v>3</v>
      </c>
      <c r="F66" s="9">
        <v>4</v>
      </c>
      <c r="G66" s="9">
        <v>5</v>
      </c>
      <c r="H66" s="9">
        <v>11</v>
      </c>
      <c r="I66" s="9">
        <v>12</v>
      </c>
      <c r="J66" s="9">
        <v>13</v>
      </c>
      <c r="K66" s="9">
        <v>14</v>
      </c>
      <c r="L66" s="9">
        <v>15</v>
      </c>
      <c r="M66" s="91" t="s">
        <v>20</v>
      </c>
      <c r="P66" s="6"/>
    </row>
    <row r="67" spans="1:16">
      <c r="A67" s="80"/>
      <c r="B67" s="8">
        <f t="shared" si="1"/>
        <v>704</v>
      </c>
      <c r="C67" s="9">
        <v>6</v>
      </c>
      <c r="D67" s="9">
        <v>7</v>
      </c>
      <c r="E67" s="9">
        <v>8</v>
      </c>
      <c r="F67" s="9">
        <v>9</v>
      </c>
      <c r="G67" s="9">
        <v>10</v>
      </c>
      <c r="H67" s="95"/>
      <c r="I67" s="96"/>
      <c r="J67" s="96"/>
      <c r="K67" s="96"/>
      <c r="L67" s="97"/>
      <c r="M67" s="91"/>
      <c r="P67" s="6"/>
    </row>
    <row r="68" spans="1:16">
      <c r="A68" s="80">
        <v>8</v>
      </c>
      <c r="B68" s="8">
        <f t="shared" si="1"/>
        <v>803</v>
      </c>
      <c r="C68" s="9">
        <v>16</v>
      </c>
      <c r="D68" s="9">
        <v>17</v>
      </c>
      <c r="E68" s="9">
        <v>18</v>
      </c>
      <c r="F68" s="9">
        <v>19</v>
      </c>
      <c r="G68" s="9">
        <v>20</v>
      </c>
      <c r="H68" s="31">
        <v>26</v>
      </c>
      <c r="I68" s="31">
        <v>27</v>
      </c>
      <c r="J68" s="31">
        <v>28</v>
      </c>
      <c r="K68" s="31">
        <v>29</v>
      </c>
      <c r="L68" s="31">
        <v>30</v>
      </c>
      <c r="M68" s="91"/>
      <c r="P68" s="6"/>
    </row>
    <row r="69" spans="1:16">
      <c r="A69" s="80"/>
      <c r="B69" s="8">
        <f t="shared" si="1"/>
        <v>804</v>
      </c>
      <c r="C69" s="9">
        <v>21</v>
      </c>
      <c r="D69" s="9">
        <v>22</v>
      </c>
      <c r="E69" s="9">
        <v>23</v>
      </c>
      <c r="F69" s="9">
        <v>24</v>
      </c>
      <c r="G69" s="9">
        <v>25</v>
      </c>
      <c r="H69" s="95"/>
      <c r="I69" s="96"/>
      <c r="J69" s="96"/>
      <c r="K69" s="96"/>
      <c r="L69" s="97"/>
      <c r="M69" s="91"/>
      <c r="P69" s="6"/>
    </row>
    <row r="70" spans="1:16">
      <c r="A70" s="80">
        <v>9</v>
      </c>
      <c r="B70" s="8">
        <f t="shared" si="1"/>
        <v>903</v>
      </c>
      <c r="C70" s="9">
        <v>31</v>
      </c>
      <c r="D70" s="9">
        <v>32</v>
      </c>
      <c r="E70" s="9">
        <v>33</v>
      </c>
      <c r="F70" s="9">
        <v>34</v>
      </c>
      <c r="G70" s="9">
        <v>35</v>
      </c>
      <c r="H70" s="9">
        <v>41</v>
      </c>
      <c r="I70" s="9">
        <v>42</v>
      </c>
      <c r="J70" s="9">
        <v>43</v>
      </c>
      <c r="K70" s="9">
        <v>44</v>
      </c>
      <c r="L70" s="9">
        <v>45</v>
      </c>
      <c r="M70" s="91"/>
      <c r="P70" s="6"/>
    </row>
    <row r="71" spans="1:16">
      <c r="A71" s="80"/>
      <c r="B71" s="8">
        <f t="shared" si="1"/>
        <v>904</v>
      </c>
      <c r="C71" s="9">
        <v>36</v>
      </c>
      <c r="D71" s="10">
        <v>37</v>
      </c>
      <c r="E71" s="9">
        <v>38</v>
      </c>
      <c r="F71" s="9">
        <v>39</v>
      </c>
      <c r="G71" s="9">
        <v>40</v>
      </c>
      <c r="H71" s="95"/>
      <c r="I71" s="96"/>
      <c r="J71" s="96"/>
      <c r="K71" s="96"/>
      <c r="L71" s="97"/>
      <c r="M71" s="91"/>
      <c r="P71" s="6"/>
    </row>
    <row r="72" spans="1:16">
      <c r="A72" s="80">
        <v>10</v>
      </c>
      <c r="B72" s="8">
        <f t="shared" si="1"/>
        <v>1003</v>
      </c>
      <c r="C72" s="9">
        <v>46</v>
      </c>
      <c r="D72" s="9">
        <v>47</v>
      </c>
      <c r="E72" s="9">
        <v>48</v>
      </c>
      <c r="F72" s="9">
        <v>49</v>
      </c>
      <c r="G72" s="11">
        <v>50</v>
      </c>
      <c r="H72" s="31">
        <v>56</v>
      </c>
      <c r="I72" s="31">
        <v>57</v>
      </c>
      <c r="J72" s="31">
        <v>58</v>
      </c>
      <c r="K72" s="31">
        <v>59</v>
      </c>
      <c r="L72" s="31">
        <v>60</v>
      </c>
      <c r="M72" s="91"/>
      <c r="P72" s="6"/>
    </row>
    <row r="73" spans="1:16">
      <c r="A73" s="80"/>
      <c r="B73" s="8">
        <f t="shared" si="1"/>
        <v>1004</v>
      </c>
      <c r="C73" s="9">
        <v>51</v>
      </c>
      <c r="D73" s="9">
        <v>52</v>
      </c>
      <c r="E73" s="9">
        <v>53</v>
      </c>
      <c r="F73" s="9">
        <v>54</v>
      </c>
      <c r="G73" s="10">
        <v>55</v>
      </c>
      <c r="H73" s="95"/>
      <c r="I73" s="96"/>
      <c r="J73" s="96"/>
      <c r="K73" s="96"/>
      <c r="L73" s="97"/>
      <c r="M73" s="91"/>
      <c r="P73" s="6"/>
    </row>
    <row r="74" spans="1:16">
      <c r="A74" s="98">
        <v>11</v>
      </c>
      <c r="B74" s="8">
        <f t="shared" si="1"/>
        <v>1103</v>
      </c>
      <c r="C74" s="10">
        <v>61</v>
      </c>
      <c r="D74" s="9">
        <v>62</v>
      </c>
      <c r="E74" s="9">
        <v>63</v>
      </c>
      <c r="F74" s="9">
        <v>64</v>
      </c>
      <c r="G74" s="9">
        <v>65</v>
      </c>
      <c r="H74" s="9">
        <v>71</v>
      </c>
      <c r="I74" s="9">
        <v>72</v>
      </c>
      <c r="J74" s="9">
        <v>73</v>
      </c>
      <c r="K74" s="9">
        <v>74</v>
      </c>
      <c r="L74" s="9">
        <v>75</v>
      </c>
      <c r="M74" s="91"/>
      <c r="P74" s="6"/>
    </row>
    <row r="75" spans="1:16">
      <c r="A75" s="99"/>
      <c r="B75" s="8">
        <f t="shared" si="1"/>
        <v>1104</v>
      </c>
      <c r="C75" s="9">
        <v>66</v>
      </c>
      <c r="D75" s="9">
        <v>67</v>
      </c>
      <c r="E75" s="9">
        <v>68</v>
      </c>
      <c r="F75" s="9">
        <v>69</v>
      </c>
      <c r="G75" s="9">
        <v>70</v>
      </c>
      <c r="H75" s="95"/>
      <c r="I75" s="96"/>
      <c r="J75" s="96"/>
      <c r="K75" s="96"/>
      <c r="L75" s="97"/>
      <c r="M75" s="91"/>
      <c r="P75" s="6"/>
    </row>
    <row r="76" spans="1:16">
      <c r="A76" s="80">
        <v>12</v>
      </c>
      <c r="B76" s="8">
        <f t="shared" si="1"/>
        <v>1203</v>
      </c>
      <c r="C76" s="9">
        <v>76</v>
      </c>
      <c r="D76" s="9">
        <v>77</v>
      </c>
      <c r="E76" s="9">
        <v>78</v>
      </c>
      <c r="F76" s="9">
        <v>79</v>
      </c>
      <c r="G76" s="9">
        <v>80</v>
      </c>
      <c r="H76" s="31">
        <v>86</v>
      </c>
      <c r="I76" s="31">
        <v>87</v>
      </c>
      <c r="J76" s="31">
        <v>88</v>
      </c>
      <c r="K76" s="31">
        <v>89</v>
      </c>
      <c r="L76" s="31">
        <v>90</v>
      </c>
      <c r="M76" s="91"/>
      <c r="P76" s="6"/>
    </row>
    <row r="77" spans="1:16">
      <c r="A77" s="80"/>
      <c r="B77" s="8">
        <f t="shared" si="1"/>
        <v>1204</v>
      </c>
      <c r="C77" s="9">
        <v>81</v>
      </c>
      <c r="D77" s="9">
        <v>82</v>
      </c>
      <c r="E77" s="9">
        <v>83</v>
      </c>
      <c r="F77" s="9">
        <v>84</v>
      </c>
      <c r="G77" s="9">
        <v>85</v>
      </c>
      <c r="H77" s="95"/>
      <c r="I77" s="96"/>
      <c r="J77" s="96"/>
      <c r="K77" s="96"/>
      <c r="L77" s="97"/>
      <c r="M77" s="91"/>
      <c r="P77" s="6"/>
    </row>
    <row r="78" spans="1:16">
      <c r="A78" s="80">
        <v>13</v>
      </c>
      <c r="B78" s="8">
        <f t="shared" si="1"/>
        <v>1303</v>
      </c>
      <c r="C78" s="9">
        <v>1</v>
      </c>
      <c r="D78" s="9">
        <v>2</v>
      </c>
      <c r="E78" s="9">
        <v>3</v>
      </c>
      <c r="F78" s="9">
        <v>4</v>
      </c>
      <c r="G78" s="9">
        <v>5</v>
      </c>
      <c r="H78" s="9">
        <v>11</v>
      </c>
      <c r="I78" s="9">
        <v>12</v>
      </c>
      <c r="J78" s="9">
        <v>13</v>
      </c>
      <c r="K78" s="9">
        <v>14</v>
      </c>
      <c r="L78" s="9">
        <v>15</v>
      </c>
      <c r="M78" s="91" t="s">
        <v>21</v>
      </c>
      <c r="P78" s="6"/>
    </row>
    <row r="79" spans="1:16">
      <c r="A79" s="80"/>
      <c r="B79" s="8">
        <f t="shared" si="1"/>
        <v>1304</v>
      </c>
      <c r="C79" s="9">
        <v>6</v>
      </c>
      <c r="D79" s="9">
        <v>7</v>
      </c>
      <c r="E79" s="9">
        <v>8</v>
      </c>
      <c r="F79" s="9">
        <v>9</v>
      </c>
      <c r="G79" s="9">
        <v>10</v>
      </c>
      <c r="H79" s="95"/>
      <c r="I79" s="96"/>
      <c r="J79" s="96"/>
      <c r="K79" s="96"/>
      <c r="L79" s="97"/>
      <c r="M79" s="91"/>
      <c r="P79" s="6"/>
    </row>
    <row r="80" spans="1:16">
      <c r="A80" s="80">
        <v>14</v>
      </c>
      <c r="B80" s="8">
        <f t="shared" si="1"/>
        <v>1403</v>
      </c>
      <c r="C80" s="9">
        <v>16</v>
      </c>
      <c r="D80" s="9">
        <v>17</v>
      </c>
      <c r="E80" s="9">
        <v>18</v>
      </c>
      <c r="F80" s="9">
        <v>19</v>
      </c>
      <c r="G80" s="9">
        <v>20</v>
      </c>
      <c r="H80" s="31">
        <v>26</v>
      </c>
      <c r="I80" s="31">
        <v>27</v>
      </c>
      <c r="J80" s="31">
        <v>28</v>
      </c>
      <c r="K80" s="31">
        <v>29</v>
      </c>
      <c r="L80" s="31">
        <v>30</v>
      </c>
      <c r="M80" s="91"/>
      <c r="P80" s="6"/>
    </row>
    <row r="81" spans="1:20">
      <c r="A81" s="80"/>
      <c r="B81" s="8">
        <f t="shared" si="1"/>
        <v>1404</v>
      </c>
      <c r="C81" s="9">
        <v>21</v>
      </c>
      <c r="D81" s="9">
        <v>22</v>
      </c>
      <c r="E81" s="9">
        <v>23</v>
      </c>
      <c r="F81" s="9">
        <v>24</v>
      </c>
      <c r="G81" s="9">
        <v>25</v>
      </c>
      <c r="H81" s="95"/>
      <c r="I81" s="96"/>
      <c r="J81" s="96"/>
      <c r="K81" s="96"/>
      <c r="L81" s="97"/>
      <c r="M81" s="91"/>
      <c r="P81" s="6"/>
    </row>
    <row r="82" spans="1:20">
      <c r="A82" s="80">
        <v>15</v>
      </c>
      <c r="B82" s="8">
        <f t="shared" si="1"/>
        <v>1503</v>
      </c>
      <c r="C82" s="9">
        <v>31</v>
      </c>
      <c r="D82" s="9">
        <v>32</v>
      </c>
      <c r="E82" s="9">
        <v>33</v>
      </c>
      <c r="F82" s="9">
        <v>34</v>
      </c>
      <c r="G82" s="9">
        <v>35</v>
      </c>
      <c r="H82" s="9">
        <v>41</v>
      </c>
      <c r="I82" s="9">
        <v>42</v>
      </c>
      <c r="J82" s="9">
        <v>43</v>
      </c>
      <c r="K82" s="9">
        <v>44</v>
      </c>
      <c r="L82" s="9">
        <v>45</v>
      </c>
      <c r="M82" s="91"/>
      <c r="P82" s="6"/>
    </row>
    <row r="83" spans="1:20">
      <c r="A83" s="80"/>
      <c r="B83" s="8">
        <f t="shared" si="1"/>
        <v>1504</v>
      </c>
      <c r="C83" s="9">
        <v>36</v>
      </c>
      <c r="D83" s="9">
        <v>37</v>
      </c>
      <c r="E83" s="9">
        <v>38</v>
      </c>
      <c r="F83" s="9">
        <v>39</v>
      </c>
      <c r="G83" s="9">
        <v>40</v>
      </c>
      <c r="H83" s="95"/>
      <c r="I83" s="96"/>
      <c r="J83" s="96"/>
      <c r="K83" s="96"/>
      <c r="L83" s="97"/>
      <c r="M83" s="91"/>
      <c r="P83" s="6"/>
    </row>
    <row r="84" spans="1:20">
      <c r="A84" s="80">
        <v>16</v>
      </c>
      <c r="B84" s="8">
        <f t="shared" si="1"/>
        <v>1603</v>
      </c>
      <c r="C84" s="9">
        <v>46</v>
      </c>
      <c r="D84" s="9">
        <v>47</v>
      </c>
      <c r="E84" s="9">
        <v>48</v>
      </c>
      <c r="F84" s="9">
        <v>49</v>
      </c>
      <c r="G84" s="9">
        <v>50</v>
      </c>
      <c r="H84" s="31">
        <v>56</v>
      </c>
      <c r="I84" s="31">
        <v>57</v>
      </c>
      <c r="J84" s="31">
        <v>58</v>
      </c>
      <c r="K84" s="31">
        <v>59</v>
      </c>
      <c r="L84" s="31">
        <v>60</v>
      </c>
      <c r="M84" s="91"/>
      <c r="P84" s="6"/>
    </row>
    <row r="85" spans="1:20">
      <c r="A85" s="80"/>
      <c r="B85" s="8">
        <f t="shared" si="1"/>
        <v>1604</v>
      </c>
      <c r="C85" s="9">
        <v>51</v>
      </c>
      <c r="D85" s="9">
        <v>52</v>
      </c>
      <c r="E85" s="9">
        <v>53</v>
      </c>
      <c r="F85" s="9">
        <v>54</v>
      </c>
      <c r="G85" s="9">
        <v>55</v>
      </c>
      <c r="H85" s="95"/>
      <c r="I85" s="96"/>
      <c r="J85" s="96"/>
      <c r="K85" s="96"/>
      <c r="L85" s="97"/>
      <c r="M85" s="91"/>
      <c r="P85" s="6"/>
    </row>
    <row r="86" spans="1:20">
      <c r="A86" s="80">
        <v>17</v>
      </c>
      <c r="B86" s="8">
        <f t="shared" si="1"/>
        <v>1703</v>
      </c>
      <c r="C86" s="9">
        <v>61</v>
      </c>
      <c r="D86" s="9">
        <v>62</v>
      </c>
      <c r="E86" s="9">
        <v>63</v>
      </c>
      <c r="F86" s="9">
        <v>64</v>
      </c>
      <c r="G86" s="9">
        <v>65</v>
      </c>
      <c r="H86" s="9">
        <v>71</v>
      </c>
      <c r="I86" s="9">
        <v>72</v>
      </c>
      <c r="J86" s="9">
        <v>73</v>
      </c>
      <c r="K86" s="9">
        <v>74</v>
      </c>
      <c r="L86" s="9">
        <v>75</v>
      </c>
      <c r="M86" s="91"/>
    </row>
    <row r="87" spans="1:20">
      <c r="A87" s="80"/>
      <c r="B87" s="8">
        <f t="shared" si="1"/>
        <v>1704</v>
      </c>
      <c r="C87" s="9">
        <v>66</v>
      </c>
      <c r="D87" s="9">
        <v>67</v>
      </c>
      <c r="E87" s="9">
        <v>68</v>
      </c>
      <c r="F87" s="9">
        <v>69</v>
      </c>
      <c r="G87" s="9">
        <v>70</v>
      </c>
      <c r="H87" s="95"/>
      <c r="I87" s="96"/>
      <c r="J87" s="96"/>
      <c r="K87" s="96"/>
      <c r="L87" s="97"/>
      <c r="M87" s="91"/>
    </row>
    <row r="88" spans="1:20">
      <c r="A88" s="80">
        <v>18</v>
      </c>
      <c r="B88" s="8">
        <f t="shared" si="1"/>
        <v>1803</v>
      </c>
      <c r="C88" s="9">
        <v>76</v>
      </c>
      <c r="D88" s="9">
        <v>77</v>
      </c>
      <c r="E88" s="9">
        <v>78</v>
      </c>
      <c r="F88" s="9">
        <v>79</v>
      </c>
      <c r="G88" s="9">
        <v>80</v>
      </c>
      <c r="H88" s="31">
        <v>86</v>
      </c>
      <c r="I88" s="31">
        <v>87</v>
      </c>
      <c r="J88" s="31">
        <v>88</v>
      </c>
      <c r="K88" s="31">
        <v>89</v>
      </c>
      <c r="L88" s="31">
        <v>90</v>
      </c>
      <c r="M88" s="91"/>
      <c r="O88" s="6"/>
    </row>
    <row r="89" spans="1:20">
      <c r="A89" s="80"/>
      <c r="B89" s="8">
        <f t="shared" si="1"/>
        <v>1804</v>
      </c>
      <c r="C89" s="9">
        <v>81</v>
      </c>
      <c r="D89" s="9">
        <v>82</v>
      </c>
      <c r="E89" s="9">
        <v>83</v>
      </c>
      <c r="F89" s="9">
        <v>84</v>
      </c>
      <c r="G89" s="9">
        <v>85</v>
      </c>
      <c r="H89" s="95"/>
      <c r="I89" s="96"/>
      <c r="J89" s="96"/>
      <c r="K89" s="96"/>
      <c r="L89" s="97"/>
      <c r="M89" s="91"/>
      <c r="O89" s="6"/>
    </row>
    <row r="90" spans="1:20">
      <c r="A90" s="80">
        <v>19</v>
      </c>
      <c r="B90" s="8">
        <f t="shared" si="1"/>
        <v>1903</v>
      </c>
      <c r="C90" s="9">
        <v>1</v>
      </c>
      <c r="D90" s="9">
        <v>2</v>
      </c>
      <c r="E90" s="9">
        <v>3</v>
      </c>
      <c r="F90" s="9">
        <v>4</v>
      </c>
      <c r="G90" s="9">
        <v>5</v>
      </c>
      <c r="H90" s="9">
        <v>11</v>
      </c>
      <c r="I90" s="9">
        <v>12</v>
      </c>
      <c r="J90" s="9">
        <v>13</v>
      </c>
      <c r="K90" s="9">
        <v>14</v>
      </c>
      <c r="L90" s="9">
        <v>15</v>
      </c>
      <c r="M90" s="100" t="s">
        <v>22</v>
      </c>
      <c r="O90" s="6"/>
    </row>
    <row r="91" spans="1:20">
      <c r="A91" s="80"/>
      <c r="B91" s="8">
        <f t="shared" si="1"/>
        <v>1904</v>
      </c>
      <c r="C91" s="9">
        <v>6</v>
      </c>
      <c r="D91" s="9">
        <v>7</v>
      </c>
      <c r="E91" s="9">
        <v>8</v>
      </c>
      <c r="F91" s="9">
        <v>9</v>
      </c>
      <c r="G91" s="9">
        <v>10</v>
      </c>
      <c r="H91" s="95"/>
      <c r="I91" s="96"/>
      <c r="J91" s="96"/>
      <c r="K91" s="96"/>
      <c r="L91" s="97"/>
      <c r="M91" s="101"/>
      <c r="O91" s="6"/>
    </row>
    <row r="92" spans="1:20">
      <c r="A92" s="80">
        <v>20</v>
      </c>
      <c r="B92" s="8">
        <f t="shared" si="1"/>
        <v>2003</v>
      </c>
      <c r="C92" s="9">
        <v>16</v>
      </c>
      <c r="D92" s="9">
        <v>17</v>
      </c>
      <c r="E92" s="9">
        <v>18</v>
      </c>
      <c r="F92" s="9">
        <v>19</v>
      </c>
      <c r="G92" s="9">
        <v>20</v>
      </c>
      <c r="H92" s="31">
        <v>26</v>
      </c>
      <c r="I92" s="31">
        <v>27</v>
      </c>
      <c r="J92" s="31">
        <v>28</v>
      </c>
      <c r="K92" s="31">
        <v>29</v>
      </c>
      <c r="L92" s="31">
        <v>30</v>
      </c>
      <c r="M92" s="101"/>
      <c r="O92" s="6"/>
      <c r="T92" s="18"/>
    </row>
    <row r="93" spans="1:20">
      <c r="A93" s="80"/>
      <c r="B93" s="8">
        <f t="shared" si="1"/>
        <v>2004</v>
      </c>
      <c r="C93" s="9">
        <v>21</v>
      </c>
      <c r="D93" s="9">
        <v>22</v>
      </c>
      <c r="E93" s="9">
        <v>23</v>
      </c>
      <c r="F93" s="9">
        <v>24</v>
      </c>
      <c r="G93" s="9">
        <v>25</v>
      </c>
      <c r="H93" s="95"/>
      <c r="I93" s="96"/>
      <c r="J93" s="96"/>
      <c r="K93" s="96"/>
      <c r="L93" s="97"/>
      <c r="M93" s="101"/>
      <c r="O93" s="6"/>
    </row>
    <row r="94" spans="1:20">
      <c r="A94" s="80">
        <v>21</v>
      </c>
      <c r="B94" s="8">
        <f t="shared" si="1"/>
        <v>2103</v>
      </c>
      <c r="C94" s="9">
        <v>31</v>
      </c>
      <c r="D94" s="9">
        <v>32</v>
      </c>
      <c r="E94" s="9">
        <v>33</v>
      </c>
      <c r="F94" s="9">
        <v>34</v>
      </c>
      <c r="G94" s="9">
        <v>35</v>
      </c>
      <c r="H94" s="9">
        <v>41</v>
      </c>
      <c r="I94" s="9">
        <v>42</v>
      </c>
      <c r="J94" s="9">
        <v>43</v>
      </c>
      <c r="K94" s="9">
        <v>44</v>
      </c>
      <c r="L94" s="9">
        <v>45</v>
      </c>
      <c r="M94" s="101"/>
      <c r="O94" s="6"/>
    </row>
    <row r="95" spans="1:20">
      <c r="A95" s="80"/>
      <c r="B95" s="8">
        <f t="shared" si="1"/>
        <v>2104</v>
      </c>
      <c r="C95" s="9">
        <v>36</v>
      </c>
      <c r="D95" s="9">
        <v>37</v>
      </c>
      <c r="E95" s="9">
        <v>38</v>
      </c>
      <c r="F95" s="9">
        <v>39</v>
      </c>
      <c r="G95" s="9">
        <v>40</v>
      </c>
      <c r="H95" s="95"/>
      <c r="I95" s="96"/>
      <c r="J95" s="96"/>
      <c r="K95" s="96"/>
      <c r="L95" s="97"/>
      <c r="M95" s="101"/>
      <c r="O95" s="6"/>
    </row>
    <row r="96" spans="1:20">
      <c r="A96" s="80">
        <v>22</v>
      </c>
      <c r="B96" s="8">
        <f t="shared" si="1"/>
        <v>2203</v>
      </c>
      <c r="C96" s="9">
        <v>46</v>
      </c>
      <c r="D96" s="9">
        <v>47</v>
      </c>
      <c r="E96" s="9">
        <v>48</v>
      </c>
      <c r="F96" s="9">
        <v>49</v>
      </c>
      <c r="G96" s="9">
        <v>50</v>
      </c>
      <c r="H96" s="31">
        <v>56</v>
      </c>
      <c r="I96" s="31">
        <v>57</v>
      </c>
      <c r="J96" s="31">
        <v>58</v>
      </c>
      <c r="K96" s="31">
        <v>59</v>
      </c>
      <c r="L96" s="31">
        <v>60</v>
      </c>
      <c r="M96" s="101"/>
      <c r="O96" s="6"/>
    </row>
    <row r="97" spans="1:16">
      <c r="A97" s="80"/>
      <c r="B97" s="8">
        <f t="shared" si="1"/>
        <v>2204</v>
      </c>
      <c r="C97" s="9">
        <v>51</v>
      </c>
      <c r="D97" s="9">
        <v>52</v>
      </c>
      <c r="E97" s="9">
        <v>53</v>
      </c>
      <c r="F97" s="9">
        <v>54</v>
      </c>
      <c r="G97" s="9">
        <v>55</v>
      </c>
      <c r="H97" s="95"/>
      <c r="I97" s="96"/>
      <c r="J97" s="96"/>
      <c r="K97" s="96"/>
      <c r="L97" s="97"/>
      <c r="M97" s="101"/>
      <c r="O97" s="6"/>
    </row>
    <row r="98" spans="1:16">
      <c r="A98" s="80">
        <v>23</v>
      </c>
      <c r="B98" s="8">
        <f t="shared" si="1"/>
        <v>2303</v>
      </c>
      <c r="C98" s="9">
        <v>61</v>
      </c>
      <c r="D98" s="9">
        <v>62</v>
      </c>
      <c r="E98" s="9">
        <v>63</v>
      </c>
      <c r="F98" s="9">
        <v>64</v>
      </c>
      <c r="G98" s="9">
        <v>65</v>
      </c>
      <c r="H98" s="9">
        <v>71</v>
      </c>
      <c r="I98" s="9">
        <v>72</v>
      </c>
      <c r="J98" s="9">
        <v>73</v>
      </c>
      <c r="K98" s="9">
        <v>74</v>
      </c>
      <c r="L98" s="9">
        <v>75</v>
      </c>
      <c r="M98" s="101"/>
      <c r="O98" s="6"/>
      <c r="P98" s="6"/>
    </row>
    <row r="99" spans="1:16">
      <c r="A99" s="80"/>
      <c r="B99" s="8">
        <f t="shared" si="1"/>
        <v>2304</v>
      </c>
      <c r="C99" s="9">
        <v>66</v>
      </c>
      <c r="D99" s="9">
        <v>67</v>
      </c>
      <c r="E99" s="9">
        <v>68</v>
      </c>
      <c r="F99" s="9">
        <v>69</v>
      </c>
      <c r="G99" s="9">
        <v>70</v>
      </c>
      <c r="H99" s="95"/>
      <c r="I99" s="96"/>
      <c r="J99" s="96"/>
      <c r="K99" s="96"/>
      <c r="L99" s="97"/>
      <c r="M99" s="101"/>
      <c r="O99" s="6"/>
      <c r="P99" s="6"/>
    </row>
    <row r="100" spans="1:16">
      <c r="A100" s="80">
        <v>24</v>
      </c>
      <c r="B100" s="8">
        <f t="shared" si="1"/>
        <v>2403</v>
      </c>
      <c r="C100" s="9">
        <v>76</v>
      </c>
      <c r="D100" s="9">
        <v>77</v>
      </c>
      <c r="E100" s="9">
        <v>78</v>
      </c>
      <c r="F100" s="9">
        <v>79</v>
      </c>
      <c r="G100" s="9">
        <v>80</v>
      </c>
      <c r="H100" s="31">
        <v>86</v>
      </c>
      <c r="I100" s="31">
        <v>87</v>
      </c>
      <c r="J100" s="31">
        <v>88</v>
      </c>
      <c r="K100" s="31">
        <v>89</v>
      </c>
      <c r="L100" s="31">
        <v>90</v>
      </c>
      <c r="M100" s="101"/>
      <c r="P100" s="6"/>
    </row>
    <row r="101" spans="1:16">
      <c r="A101" s="80"/>
      <c r="B101" s="8">
        <f t="shared" si="1"/>
        <v>2404</v>
      </c>
      <c r="C101" s="9">
        <v>81</v>
      </c>
      <c r="D101" s="9">
        <v>82</v>
      </c>
      <c r="E101" s="9">
        <v>83</v>
      </c>
      <c r="F101" s="9">
        <v>84</v>
      </c>
      <c r="G101" s="9">
        <v>85</v>
      </c>
      <c r="H101" s="95"/>
      <c r="I101" s="96"/>
      <c r="J101" s="96"/>
      <c r="K101" s="96"/>
      <c r="L101" s="97"/>
      <c r="M101" s="101"/>
      <c r="P101" s="6"/>
    </row>
    <row r="102" spans="1:16">
      <c r="A102" s="80">
        <v>25</v>
      </c>
      <c r="B102" s="8">
        <f t="shared" si="1"/>
        <v>2503</v>
      </c>
      <c r="C102" s="9">
        <v>91</v>
      </c>
      <c r="D102" s="9">
        <v>92</v>
      </c>
      <c r="E102" s="9">
        <v>93</v>
      </c>
      <c r="F102" s="9">
        <v>94</v>
      </c>
      <c r="G102" s="9">
        <v>95</v>
      </c>
      <c r="H102" s="9">
        <v>101</v>
      </c>
      <c r="I102" s="9">
        <v>102</v>
      </c>
      <c r="J102" s="9">
        <v>103</v>
      </c>
      <c r="K102" s="9">
        <v>104</v>
      </c>
      <c r="L102" s="9">
        <v>105</v>
      </c>
      <c r="M102" s="101"/>
      <c r="P102" s="6"/>
    </row>
    <row r="103" spans="1:16">
      <c r="A103" s="80"/>
      <c r="B103" s="8">
        <f t="shared" si="1"/>
        <v>2504</v>
      </c>
      <c r="C103" s="9">
        <v>96</v>
      </c>
      <c r="D103" s="9">
        <v>97</v>
      </c>
      <c r="E103" s="9">
        <v>98</v>
      </c>
      <c r="F103" s="9">
        <v>99</v>
      </c>
      <c r="G103" s="9">
        <v>100</v>
      </c>
      <c r="H103" s="95"/>
      <c r="I103" s="96"/>
      <c r="J103" s="96"/>
      <c r="K103" s="96"/>
      <c r="L103" s="97"/>
      <c r="M103" s="102"/>
      <c r="P103" s="6"/>
    </row>
    <row r="104" spans="1:16">
      <c r="P104" s="6"/>
    </row>
    <row r="105" spans="1:16">
      <c r="P105" s="6"/>
    </row>
    <row r="106" spans="1:16">
      <c r="P106" s="6"/>
    </row>
    <row r="107" spans="1:16">
      <c r="O107" s="6"/>
    </row>
    <row r="108" spans="1:16">
      <c r="O108" s="6"/>
    </row>
    <row r="109" spans="1:16">
      <c r="O109" s="6"/>
    </row>
    <row r="110" spans="1:16">
      <c r="O110" s="6"/>
    </row>
    <row r="111" spans="1:16">
      <c r="O111" s="6"/>
    </row>
    <row r="112" spans="1:16">
      <c r="O112" s="6"/>
    </row>
  </sheetData>
  <mergeCells count="128">
    <mergeCell ref="A88:A89"/>
    <mergeCell ref="H89:L89"/>
    <mergeCell ref="A90:A91"/>
    <mergeCell ref="M90:M103"/>
    <mergeCell ref="H91:L91"/>
    <mergeCell ref="A92:A93"/>
    <mergeCell ref="H93:L93"/>
    <mergeCell ref="A94:A95"/>
    <mergeCell ref="A102:A103"/>
    <mergeCell ref="H103:L103"/>
    <mergeCell ref="H95:L95"/>
    <mergeCell ref="A96:A97"/>
    <mergeCell ref="H97:L97"/>
    <mergeCell ref="A98:A99"/>
    <mergeCell ref="H99:L99"/>
    <mergeCell ref="A100:A101"/>
    <mergeCell ref="H101:L101"/>
    <mergeCell ref="H77:L77"/>
    <mergeCell ref="A78:A79"/>
    <mergeCell ref="M78:M89"/>
    <mergeCell ref="H79:L79"/>
    <mergeCell ref="A80:A81"/>
    <mergeCell ref="H81:L81"/>
    <mergeCell ref="A82:A83"/>
    <mergeCell ref="H83:L83"/>
    <mergeCell ref="A84:A85"/>
    <mergeCell ref="H85:L85"/>
    <mergeCell ref="M66:M77"/>
    <mergeCell ref="H67:L67"/>
    <mergeCell ref="A68:A69"/>
    <mergeCell ref="H69:L69"/>
    <mergeCell ref="A70:A71"/>
    <mergeCell ref="H71:L71"/>
    <mergeCell ref="A72:A73"/>
    <mergeCell ref="H73:L73"/>
    <mergeCell ref="A74:A75"/>
    <mergeCell ref="H75:L75"/>
    <mergeCell ref="A76:A77"/>
    <mergeCell ref="A66:A67"/>
    <mergeCell ref="A86:A87"/>
    <mergeCell ref="H87:L87"/>
    <mergeCell ref="A50:A51"/>
    <mergeCell ref="H51:L51"/>
    <mergeCell ref="H35:L35"/>
    <mergeCell ref="A36:A37"/>
    <mergeCell ref="H37:L37"/>
    <mergeCell ref="A38:A39"/>
    <mergeCell ref="H39:L39"/>
    <mergeCell ref="M54:M65"/>
    <mergeCell ref="H55:L55"/>
    <mergeCell ref="A56:A57"/>
    <mergeCell ref="H57:L57"/>
    <mergeCell ref="A58:A59"/>
    <mergeCell ref="H59:L59"/>
    <mergeCell ref="A60:A61"/>
    <mergeCell ref="H61:L61"/>
    <mergeCell ref="A62:A63"/>
    <mergeCell ref="H63:L63"/>
    <mergeCell ref="A64:A65"/>
    <mergeCell ref="H65:L65"/>
    <mergeCell ref="A54:A55"/>
    <mergeCell ref="T39:T42"/>
    <mergeCell ref="A40:A41"/>
    <mergeCell ref="M40:M53"/>
    <mergeCell ref="H41:L41"/>
    <mergeCell ref="A42:A43"/>
    <mergeCell ref="A28:A29"/>
    <mergeCell ref="M28:M39"/>
    <mergeCell ref="H29:L29"/>
    <mergeCell ref="T29:T32"/>
    <mergeCell ref="A30:A31"/>
    <mergeCell ref="H31:L31"/>
    <mergeCell ref="A32:A33"/>
    <mergeCell ref="H33:L33"/>
    <mergeCell ref="A34:A35"/>
    <mergeCell ref="T34:T37"/>
    <mergeCell ref="A52:A53"/>
    <mergeCell ref="H53:L53"/>
    <mergeCell ref="H43:L43"/>
    <mergeCell ref="A44:A45"/>
    <mergeCell ref="H45:L45"/>
    <mergeCell ref="A46:A47"/>
    <mergeCell ref="H47:L47"/>
    <mergeCell ref="A48:A49"/>
    <mergeCell ref="H49:L49"/>
    <mergeCell ref="A22:A23"/>
    <mergeCell ref="H23:L23"/>
    <mergeCell ref="A24:A25"/>
    <mergeCell ref="T24:T27"/>
    <mergeCell ref="H25:L25"/>
    <mergeCell ref="A26:A27"/>
    <mergeCell ref="H27:L27"/>
    <mergeCell ref="T14:T17"/>
    <mergeCell ref="H15:L15"/>
    <mergeCell ref="A16:A17"/>
    <mergeCell ref="M16:M27"/>
    <mergeCell ref="H17:L17"/>
    <mergeCell ref="A18:A19"/>
    <mergeCell ref="H19:L19"/>
    <mergeCell ref="T19:T22"/>
    <mergeCell ref="A20:A21"/>
    <mergeCell ref="H21:L21"/>
    <mergeCell ref="T4:T7"/>
    <mergeCell ref="H5:L5"/>
    <mergeCell ref="A6:A7"/>
    <mergeCell ref="H7:L7"/>
    <mergeCell ref="A8:A9"/>
    <mergeCell ref="H9:L9"/>
    <mergeCell ref="T9:T12"/>
    <mergeCell ref="A10:A11"/>
    <mergeCell ref="H11:L11"/>
    <mergeCell ref="A12:A13"/>
    <mergeCell ref="A1:M1"/>
    <mergeCell ref="C2:G3"/>
    <mergeCell ref="M2:M3"/>
    <mergeCell ref="P3:Q3"/>
    <mergeCell ref="A4:A5"/>
    <mergeCell ref="M4:M15"/>
    <mergeCell ref="O4:O7"/>
    <mergeCell ref="H13:L13"/>
    <mergeCell ref="A14:A15"/>
    <mergeCell ref="A2:A3"/>
    <mergeCell ref="B2:B3"/>
    <mergeCell ref="H2:H3"/>
    <mergeCell ref="I2:I3"/>
    <mergeCell ref="J2:J3"/>
    <mergeCell ref="K2:K3"/>
    <mergeCell ref="L2:L3"/>
  </mergeCells>
  <conditionalFormatting sqref="F10:G10">
    <cfRule type="cellIs" dxfId="180" priority="16" operator="equal">
      <formula>"Ногоон"</formula>
    </cfRule>
    <cfRule type="cellIs" dxfId="179" priority="17" operator="equal">
      <formula>"Улаан"</formula>
    </cfRule>
  </conditionalFormatting>
  <conditionalFormatting sqref="C4:L4 C5:H5 C6:G15 H8:L8 H9 H12:L12 H13 C16:L16 C17:H17 C18:G27 H20:L20 H21 H24:L24 H25 C28:L28 C29:H29 C30:G39 H32:L32 H33 H36:L36 H37 C40:L40 C41:H41 C42:G51 H44:L44 H45 H48:L48 H49 C52:L52 C53:H53 C54:L54 C55:H55 C56:G65 H58:L58 H59 H62:L62 H63 C66:L66 C67:H67 C68:G77 H70:L70 H71 H74:L74 H75 C78:L78 C79:H79 C80:G89 H82:L82 H83 H86:L86 H87 C90:L90 C91:H91 C92:G101 H94:L94 H95 H98:L98 H99 C102:L102 C103:H103">
    <cfRule type="cellIs" dxfId="178" priority="15" operator="equal">
      <formula>"Улаан"</formula>
    </cfRule>
  </conditionalFormatting>
  <conditionalFormatting sqref="F22:G22">
    <cfRule type="cellIs" dxfId="177" priority="13" operator="equal">
      <formula>"Ногоон"</formula>
    </cfRule>
    <cfRule type="cellIs" dxfId="176" priority="14" operator="equal">
      <formula>"Улаан"</formula>
    </cfRule>
  </conditionalFormatting>
  <conditionalFormatting sqref="F34:G34">
    <cfRule type="cellIs" dxfId="175" priority="11" operator="equal">
      <formula>"Ногоон"</formula>
    </cfRule>
    <cfRule type="cellIs" dxfId="174" priority="12" operator="equal">
      <formula>"Улаан"</formula>
    </cfRule>
  </conditionalFormatting>
  <conditionalFormatting sqref="F46:G46">
    <cfRule type="cellIs" dxfId="173" priority="9" operator="equal">
      <formula>"Ногоон"</formula>
    </cfRule>
    <cfRule type="cellIs" dxfId="172" priority="10" operator="equal">
      <formula>"Улаан"</formula>
    </cfRule>
  </conditionalFormatting>
  <conditionalFormatting sqref="F60:G60">
    <cfRule type="cellIs" dxfId="171" priority="7" operator="equal">
      <formula>"Ногоон"</formula>
    </cfRule>
    <cfRule type="cellIs" dxfId="170" priority="8" operator="equal">
      <formula>"Улаан"</formula>
    </cfRule>
  </conditionalFormatting>
  <conditionalFormatting sqref="F72:G72">
    <cfRule type="cellIs" dxfId="169" priority="5" operator="equal">
      <formula>"Ногоон"</formula>
    </cfRule>
    <cfRule type="cellIs" dxfId="168" priority="6" operator="equal">
      <formula>"Улаан"</formula>
    </cfRule>
  </conditionalFormatting>
  <conditionalFormatting sqref="F84:G84">
    <cfRule type="cellIs" dxfId="167" priority="3" operator="equal">
      <formula>"Ногоон"</formula>
    </cfRule>
    <cfRule type="cellIs" dxfId="166" priority="4" operator="equal">
      <formula>"Улаан"</formula>
    </cfRule>
  </conditionalFormatting>
  <conditionalFormatting sqref="F96:G96">
    <cfRule type="cellIs" dxfId="165" priority="1" operator="equal">
      <formula>"Ногоон"</formula>
    </cfRule>
    <cfRule type="cellIs" dxfId="164" priority="2" operator="equal">
      <formula>"Улаан"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C1487-8B95-444E-8B44-9D16AE9EEC26}">
  <dimension ref="A1:AL108"/>
  <sheetViews>
    <sheetView topLeftCell="K1" workbookViewId="0">
      <selection activeCell="N8" sqref="N8"/>
    </sheetView>
  </sheetViews>
  <sheetFormatPr defaultRowHeight="15"/>
  <cols>
    <col min="14" max="14" width="9.7109375" bestFit="1" customWidth="1"/>
  </cols>
  <sheetData>
    <row r="1" spans="1:22">
      <c r="A1" s="156">
        <v>215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"/>
      <c r="N1" s="3"/>
      <c r="O1" s="4"/>
      <c r="P1" s="3"/>
      <c r="Q1" s="3"/>
      <c r="R1" s="3"/>
      <c r="S1" s="3"/>
      <c r="T1" s="3"/>
      <c r="U1" s="3"/>
      <c r="V1" s="3"/>
    </row>
    <row r="2" spans="1:22">
      <c r="A2" s="157" t="s">
        <v>1</v>
      </c>
      <c r="B2" s="155" t="s">
        <v>2</v>
      </c>
      <c r="C2" s="155" t="s">
        <v>3</v>
      </c>
      <c r="D2" s="155"/>
      <c r="E2" s="155"/>
      <c r="F2" s="155"/>
      <c r="G2" s="158" t="s">
        <v>4</v>
      </c>
      <c r="H2" s="158" t="s">
        <v>4</v>
      </c>
      <c r="I2" s="155" t="s">
        <v>5</v>
      </c>
      <c r="J2" s="159" t="s">
        <v>6</v>
      </c>
      <c r="K2" s="155" t="s">
        <v>7</v>
      </c>
      <c r="L2" s="157" t="s">
        <v>8</v>
      </c>
      <c r="M2" s="2"/>
      <c r="O2" s="5"/>
      <c r="P2" s="2"/>
      <c r="Q2" s="2"/>
      <c r="R2" s="2"/>
      <c r="T2" s="2"/>
      <c r="U2" s="2"/>
      <c r="V2" s="2"/>
    </row>
    <row r="3" spans="1:22">
      <c r="A3" s="157"/>
      <c r="B3" s="155"/>
      <c r="C3" s="155"/>
      <c r="D3" s="155"/>
      <c r="E3" s="155"/>
      <c r="F3" s="155"/>
      <c r="G3" s="158"/>
      <c r="H3" s="158"/>
      <c r="I3" s="155"/>
      <c r="J3" s="159"/>
      <c r="K3" s="155"/>
      <c r="L3" s="157"/>
      <c r="M3" s="2"/>
      <c r="O3" s="90"/>
      <c r="P3" s="90"/>
      <c r="Q3" s="18"/>
      <c r="R3" s="2"/>
      <c r="S3" s="2"/>
      <c r="T3" s="2"/>
      <c r="V3" s="2"/>
    </row>
    <row r="4" spans="1:22">
      <c r="A4" s="157" t="s">
        <v>26</v>
      </c>
      <c r="B4" s="157" t="s">
        <v>27</v>
      </c>
      <c r="C4" s="51">
        <v>72</v>
      </c>
      <c r="D4" s="51">
        <v>73</v>
      </c>
      <c r="E4" s="51">
        <v>74</v>
      </c>
      <c r="F4" s="51">
        <v>75</v>
      </c>
      <c r="G4" s="51"/>
      <c r="H4" s="51"/>
      <c r="I4" s="51">
        <v>84</v>
      </c>
      <c r="J4" s="51">
        <v>83</v>
      </c>
      <c r="K4" s="51"/>
      <c r="L4" s="154" t="s">
        <v>9</v>
      </c>
      <c r="N4" s="92">
        <v>46000</v>
      </c>
      <c r="O4" s="12" t="s">
        <v>10</v>
      </c>
      <c r="P4" s="13">
        <f>SUM(P5:P7)</f>
        <v>551</v>
      </c>
      <c r="Q4" s="73">
        <v>1</v>
      </c>
      <c r="S4" s="92" t="s">
        <v>9</v>
      </c>
      <c r="T4" s="12" t="s">
        <v>10</v>
      </c>
      <c r="U4" s="13">
        <f>SUM(U5:U7)</f>
        <v>84</v>
      </c>
      <c r="V4" s="73">
        <v>1</v>
      </c>
    </row>
    <row r="5" spans="1:22">
      <c r="A5" s="157"/>
      <c r="B5" s="157"/>
      <c r="C5" s="51">
        <v>76</v>
      </c>
      <c r="D5" s="51">
        <v>77</v>
      </c>
      <c r="E5" s="60">
        <v>78</v>
      </c>
      <c r="F5" s="51">
        <v>79</v>
      </c>
      <c r="G5" s="155"/>
      <c r="H5" s="155"/>
      <c r="I5" s="155"/>
      <c r="J5" s="155"/>
      <c r="K5" s="155"/>
      <c r="L5" s="154"/>
      <c r="N5" s="93"/>
      <c r="O5" s="14" t="s">
        <v>11</v>
      </c>
      <c r="P5" s="13" cm="1">
        <f t="array" ref="P5">CountByColor(C4:K108, O5)</f>
        <v>34</v>
      </c>
      <c r="Q5" s="74">
        <v>6.1699999999999998E-2</v>
      </c>
      <c r="S5" s="93"/>
      <c r="T5" s="14" t="s">
        <v>11</v>
      </c>
      <c r="U5" s="13" cm="1">
        <f t="array" ref="U5">CountByColor(C4:K19, T5)</f>
        <v>1</v>
      </c>
      <c r="V5" s="74">
        <v>1.1900000000000001E-2</v>
      </c>
    </row>
    <row r="6" spans="1:22">
      <c r="A6" s="157"/>
      <c r="B6" s="157"/>
      <c r="C6" s="51">
        <v>80</v>
      </c>
      <c r="D6" s="51">
        <v>81</v>
      </c>
      <c r="E6" s="51">
        <v>82</v>
      </c>
      <c r="F6" s="51">
        <v>85</v>
      </c>
      <c r="G6" s="155"/>
      <c r="H6" s="155"/>
      <c r="I6" s="155"/>
      <c r="J6" s="155"/>
      <c r="K6" s="155"/>
      <c r="L6" s="154"/>
      <c r="N6" s="93"/>
      <c r="O6" s="15" t="s">
        <v>12</v>
      </c>
      <c r="P6" s="13" cm="1">
        <f t="array" ref="P6">CountByColor(C4:K108, O6)</f>
        <v>4</v>
      </c>
      <c r="Q6" s="74">
        <v>7.3000000000000001E-3</v>
      </c>
      <c r="S6" s="93"/>
      <c r="T6" s="15" t="s">
        <v>12</v>
      </c>
      <c r="U6" s="13" cm="1">
        <f t="array" ref="U6">CountByColor(C4:K19, T6)</f>
        <v>0</v>
      </c>
      <c r="V6" s="73">
        <v>0</v>
      </c>
    </row>
    <row r="7" spans="1:22">
      <c r="A7" s="157"/>
      <c r="B7" s="157"/>
      <c r="C7" s="51">
        <v>86</v>
      </c>
      <c r="D7" s="51">
        <v>87</v>
      </c>
      <c r="E7" s="51">
        <v>88</v>
      </c>
      <c r="F7" s="51"/>
      <c r="G7" s="155"/>
      <c r="H7" s="155"/>
      <c r="I7" s="155"/>
      <c r="J7" s="155"/>
      <c r="K7" s="155"/>
      <c r="L7" s="154"/>
      <c r="N7" s="94"/>
      <c r="O7" s="16" t="s">
        <v>13</v>
      </c>
      <c r="P7" s="13" cm="1">
        <f t="array" ref="P7">CountByColor(C4:K108, O7)</f>
        <v>513</v>
      </c>
      <c r="Q7" s="74">
        <v>0.93100000000000005</v>
      </c>
      <c r="S7" s="94"/>
      <c r="T7" s="16" t="s">
        <v>13</v>
      </c>
      <c r="U7" s="13" cm="1">
        <f t="array" ref="U7">CountByColor(C4:K19, T7)</f>
        <v>83</v>
      </c>
      <c r="V7" s="74">
        <v>0.98809999999999998</v>
      </c>
    </row>
    <row r="8" spans="1:22">
      <c r="A8" s="157">
        <v>1</v>
      </c>
      <c r="B8" s="54">
        <v>101</v>
      </c>
      <c r="C8" s="51">
        <v>1</v>
      </c>
      <c r="D8" s="51">
        <v>2</v>
      </c>
      <c r="E8" s="51">
        <v>3</v>
      </c>
      <c r="F8" s="51">
        <v>4</v>
      </c>
      <c r="G8" s="51">
        <v>17</v>
      </c>
      <c r="H8" s="51">
        <v>18</v>
      </c>
      <c r="I8" s="51">
        <v>19</v>
      </c>
      <c r="J8" s="51">
        <v>20</v>
      </c>
      <c r="K8" s="51">
        <v>21</v>
      </c>
      <c r="L8" s="154"/>
      <c r="N8" s="21"/>
      <c r="T8" s="1"/>
      <c r="U8" s="1"/>
    </row>
    <row r="9" spans="1:22">
      <c r="A9" s="157"/>
      <c r="B9" s="54">
        <v>102</v>
      </c>
      <c r="C9" s="51">
        <v>5</v>
      </c>
      <c r="D9" s="51">
        <v>6</v>
      </c>
      <c r="E9" s="51">
        <v>7</v>
      </c>
      <c r="F9" s="51">
        <v>8</v>
      </c>
      <c r="G9" s="155"/>
      <c r="H9" s="155"/>
      <c r="I9" s="155"/>
      <c r="J9" s="155"/>
      <c r="K9" s="155"/>
      <c r="L9" s="154"/>
      <c r="S9" s="92" t="s">
        <v>14</v>
      </c>
      <c r="T9" s="12" t="s">
        <v>10</v>
      </c>
      <c r="U9" s="13">
        <f>SUM(U10:U12)</f>
        <v>84</v>
      </c>
      <c r="V9" s="73">
        <v>1</v>
      </c>
    </row>
    <row r="10" spans="1:22">
      <c r="A10" s="157"/>
      <c r="B10" s="54">
        <v>103</v>
      </c>
      <c r="C10" s="51">
        <v>9</v>
      </c>
      <c r="D10" s="51">
        <v>10</v>
      </c>
      <c r="E10" s="51">
        <v>11</v>
      </c>
      <c r="F10" s="51">
        <v>12</v>
      </c>
      <c r="G10" s="155"/>
      <c r="H10" s="155"/>
      <c r="I10" s="155"/>
      <c r="J10" s="155"/>
      <c r="K10" s="155"/>
      <c r="L10" s="154"/>
      <c r="S10" s="93"/>
      <c r="T10" s="14" t="s">
        <v>11</v>
      </c>
      <c r="U10" s="13" cm="1">
        <f t="array" ref="U10">CountByColor(C20:K35, T10)</f>
        <v>1</v>
      </c>
      <c r="V10" s="74">
        <v>1.1900000000000001E-2</v>
      </c>
    </row>
    <row r="11" spans="1:22">
      <c r="A11" s="157"/>
      <c r="B11" s="54">
        <v>104</v>
      </c>
      <c r="C11" s="51">
        <v>13</v>
      </c>
      <c r="D11" s="51">
        <v>14</v>
      </c>
      <c r="E11" s="51">
        <v>15</v>
      </c>
      <c r="F11" s="51">
        <v>16</v>
      </c>
      <c r="G11" s="155"/>
      <c r="H11" s="155"/>
      <c r="I11" s="155"/>
      <c r="J11" s="155"/>
      <c r="K11" s="155"/>
      <c r="L11" s="154"/>
      <c r="S11" s="93"/>
      <c r="T11" s="15" t="s">
        <v>12</v>
      </c>
      <c r="U11" s="13" cm="1">
        <f t="array" ref="U11">CountByColor(C20:K35, T11)</f>
        <v>0</v>
      </c>
      <c r="V11" s="73">
        <v>0</v>
      </c>
    </row>
    <row r="12" spans="1:22">
      <c r="A12" s="157">
        <v>2</v>
      </c>
      <c r="B12" s="54">
        <v>201</v>
      </c>
      <c r="C12" s="51">
        <v>22</v>
      </c>
      <c r="D12" s="51">
        <v>23</v>
      </c>
      <c r="E12" s="51">
        <v>24</v>
      </c>
      <c r="F12" s="51">
        <v>25</v>
      </c>
      <c r="G12" s="51">
        <v>38</v>
      </c>
      <c r="H12" s="51">
        <v>39</v>
      </c>
      <c r="I12" s="51">
        <v>40</v>
      </c>
      <c r="J12" s="51">
        <v>41</v>
      </c>
      <c r="K12" s="51">
        <v>42</v>
      </c>
      <c r="L12" s="154"/>
      <c r="S12" s="94"/>
      <c r="T12" s="16" t="s">
        <v>13</v>
      </c>
      <c r="U12" s="13" cm="1">
        <f t="array" ref="U12">CountByColor(C20:K35, T12)</f>
        <v>83</v>
      </c>
      <c r="V12" s="74">
        <v>0.98809999999999998</v>
      </c>
    </row>
    <row r="13" spans="1:22">
      <c r="A13" s="157"/>
      <c r="B13" s="54">
        <v>202</v>
      </c>
      <c r="C13" s="51">
        <v>26</v>
      </c>
      <c r="D13" s="51">
        <v>27</v>
      </c>
      <c r="E13" s="51">
        <v>28</v>
      </c>
      <c r="F13" s="51">
        <v>29</v>
      </c>
      <c r="G13" s="155"/>
      <c r="H13" s="155"/>
      <c r="I13" s="155"/>
      <c r="J13" s="155"/>
      <c r="K13" s="155"/>
      <c r="L13" s="154"/>
      <c r="N13" s="33"/>
      <c r="S13" s="1"/>
    </row>
    <row r="14" spans="1:22">
      <c r="A14" s="157"/>
      <c r="B14" s="54">
        <v>203</v>
      </c>
      <c r="C14" s="51">
        <v>30</v>
      </c>
      <c r="D14" s="51">
        <v>31</v>
      </c>
      <c r="E14" s="51">
        <v>32</v>
      </c>
      <c r="F14" s="51">
        <v>33</v>
      </c>
      <c r="G14" s="155"/>
      <c r="H14" s="155"/>
      <c r="I14" s="155"/>
      <c r="J14" s="155"/>
      <c r="K14" s="155"/>
      <c r="L14" s="154"/>
      <c r="S14" s="92" t="s">
        <v>15</v>
      </c>
      <c r="T14" s="12" t="s">
        <v>10</v>
      </c>
      <c r="U14" s="13">
        <f>SUM(U15:U17)</f>
        <v>63</v>
      </c>
      <c r="V14" s="73">
        <v>1</v>
      </c>
    </row>
    <row r="15" spans="1:22">
      <c r="A15" s="157"/>
      <c r="B15" s="54">
        <v>204</v>
      </c>
      <c r="C15" s="51">
        <v>34</v>
      </c>
      <c r="D15" s="51">
        <v>35</v>
      </c>
      <c r="E15" s="51">
        <v>36</v>
      </c>
      <c r="F15" s="51">
        <v>37</v>
      </c>
      <c r="G15" s="155"/>
      <c r="H15" s="155"/>
      <c r="I15" s="155"/>
      <c r="J15" s="155"/>
      <c r="K15" s="155"/>
      <c r="L15" s="154"/>
      <c r="S15" s="93"/>
      <c r="T15" s="14" t="s">
        <v>11</v>
      </c>
      <c r="U15" s="13" cm="1">
        <f t="array" ref="U15">CountByColor(C36:K47, T15)</f>
        <v>22</v>
      </c>
      <c r="V15" s="74">
        <v>0.34920000000000001</v>
      </c>
    </row>
    <row r="16" spans="1:22">
      <c r="A16" s="157">
        <v>3</v>
      </c>
      <c r="B16" s="54">
        <v>301</v>
      </c>
      <c r="C16" s="51">
        <v>43</v>
      </c>
      <c r="D16" s="51">
        <v>44</v>
      </c>
      <c r="E16" s="51">
        <v>45</v>
      </c>
      <c r="F16" s="51">
        <v>46</v>
      </c>
      <c r="G16" s="51">
        <v>59</v>
      </c>
      <c r="H16" s="51">
        <v>60</v>
      </c>
      <c r="I16" s="51">
        <v>61</v>
      </c>
      <c r="J16" s="51">
        <v>62</v>
      </c>
      <c r="K16" s="51">
        <v>63</v>
      </c>
      <c r="L16" s="154"/>
      <c r="S16" s="93"/>
      <c r="T16" s="15" t="s">
        <v>12</v>
      </c>
      <c r="U16" s="13" cm="1">
        <f t="array" ref="U16">CountByColor(C36:K47, T16)</f>
        <v>1</v>
      </c>
      <c r="V16" s="74">
        <v>1.5900000000000001E-2</v>
      </c>
    </row>
    <row r="17" spans="1:22">
      <c r="A17" s="157"/>
      <c r="B17" s="54">
        <v>302</v>
      </c>
      <c r="C17" s="51">
        <v>47</v>
      </c>
      <c r="D17" s="51">
        <v>48</v>
      </c>
      <c r="E17" s="51">
        <v>49</v>
      </c>
      <c r="F17" s="51">
        <v>50</v>
      </c>
      <c r="G17" s="155"/>
      <c r="H17" s="155"/>
      <c r="I17" s="155"/>
      <c r="J17" s="155"/>
      <c r="K17" s="155"/>
      <c r="L17" s="154"/>
      <c r="S17" s="94"/>
      <c r="T17" s="16" t="s">
        <v>13</v>
      </c>
      <c r="U17" s="13" cm="1">
        <f t="array" ref="U17">CountByColor(C36:K47, T17)</f>
        <v>40</v>
      </c>
      <c r="V17" s="74">
        <v>0.63490000000000002</v>
      </c>
    </row>
    <row r="18" spans="1:22">
      <c r="A18" s="157"/>
      <c r="B18" s="54">
        <v>303</v>
      </c>
      <c r="C18" s="51">
        <v>51</v>
      </c>
      <c r="D18" s="51">
        <v>52</v>
      </c>
      <c r="E18" s="51">
        <v>53</v>
      </c>
      <c r="F18" s="51">
        <v>54</v>
      </c>
      <c r="G18" s="155"/>
      <c r="H18" s="155"/>
      <c r="I18" s="155"/>
      <c r="J18" s="155"/>
      <c r="K18" s="155"/>
      <c r="L18" s="154"/>
      <c r="S18" s="1"/>
    </row>
    <row r="19" spans="1:22">
      <c r="A19" s="157"/>
      <c r="B19" s="54">
        <v>304</v>
      </c>
      <c r="C19" s="51">
        <v>55</v>
      </c>
      <c r="D19" s="51">
        <v>56</v>
      </c>
      <c r="E19" s="51">
        <v>57</v>
      </c>
      <c r="F19" s="51">
        <v>58</v>
      </c>
      <c r="G19" s="155"/>
      <c r="H19" s="155"/>
      <c r="I19" s="155"/>
      <c r="J19" s="155"/>
      <c r="K19" s="155"/>
      <c r="L19" s="154"/>
      <c r="S19" s="92" t="s">
        <v>16</v>
      </c>
      <c r="T19" s="12" t="s">
        <v>10</v>
      </c>
      <c r="U19" s="13">
        <f>SUM(U20:U22)</f>
        <v>63</v>
      </c>
      <c r="V19" s="73">
        <v>1</v>
      </c>
    </row>
    <row r="20" spans="1:22">
      <c r="A20" s="157">
        <v>4</v>
      </c>
      <c r="B20" s="54">
        <v>401</v>
      </c>
      <c r="C20" s="51">
        <v>1</v>
      </c>
      <c r="D20" s="51">
        <v>2</v>
      </c>
      <c r="E20" s="51">
        <v>3</v>
      </c>
      <c r="F20" s="51">
        <v>4</v>
      </c>
      <c r="G20" s="51">
        <v>17</v>
      </c>
      <c r="H20" s="51">
        <v>18</v>
      </c>
      <c r="I20" s="51">
        <v>19</v>
      </c>
      <c r="J20" s="60">
        <v>20</v>
      </c>
      <c r="K20" s="51">
        <v>21</v>
      </c>
      <c r="L20" s="154" t="s">
        <v>14</v>
      </c>
      <c r="S20" s="93"/>
      <c r="T20" s="14" t="s">
        <v>11</v>
      </c>
      <c r="U20" s="13" cm="1">
        <f t="array" ref="U20">CountByColor(C48:K59, T20)</f>
        <v>3</v>
      </c>
      <c r="V20" s="74">
        <v>4.7600000000000003E-2</v>
      </c>
    </row>
    <row r="21" spans="1:22">
      <c r="A21" s="157"/>
      <c r="B21" s="54">
        <v>402</v>
      </c>
      <c r="C21" s="51">
        <v>5</v>
      </c>
      <c r="D21" s="51">
        <v>6</v>
      </c>
      <c r="E21" s="51">
        <v>7</v>
      </c>
      <c r="F21" s="51">
        <v>8</v>
      </c>
      <c r="G21" s="155"/>
      <c r="H21" s="155"/>
      <c r="I21" s="155"/>
      <c r="J21" s="155"/>
      <c r="K21" s="155"/>
      <c r="L21" s="154"/>
      <c r="R21" s="1"/>
      <c r="S21" s="93"/>
      <c r="T21" s="15" t="s">
        <v>12</v>
      </c>
      <c r="U21" s="13" cm="1">
        <f t="array" ref="U21">CountByColor(C48:K59, T21)</f>
        <v>1</v>
      </c>
      <c r="V21" s="74">
        <v>1.5900000000000001E-2</v>
      </c>
    </row>
    <row r="22" spans="1:22">
      <c r="A22" s="157"/>
      <c r="B22" s="54">
        <v>403</v>
      </c>
      <c r="C22" s="51">
        <v>9</v>
      </c>
      <c r="D22" s="51">
        <v>10</v>
      </c>
      <c r="E22" s="51">
        <v>11</v>
      </c>
      <c r="F22" s="51">
        <v>12</v>
      </c>
      <c r="G22" s="155"/>
      <c r="H22" s="155"/>
      <c r="I22" s="155"/>
      <c r="J22" s="155"/>
      <c r="K22" s="155"/>
      <c r="L22" s="154"/>
      <c r="S22" s="94"/>
      <c r="T22" s="16" t="s">
        <v>13</v>
      </c>
      <c r="U22" s="13" cm="1">
        <f t="array" ref="U22">CountByColor(C48:K59, T22)</f>
        <v>59</v>
      </c>
      <c r="V22" s="74">
        <v>0.9365</v>
      </c>
    </row>
    <row r="23" spans="1:22">
      <c r="A23" s="157"/>
      <c r="B23" s="54">
        <v>404</v>
      </c>
      <c r="C23" s="51">
        <v>13</v>
      </c>
      <c r="D23" s="51">
        <v>14</v>
      </c>
      <c r="E23" s="51">
        <v>15</v>
      </c>
      <c r="F23" s="51">
        <v>16</v>
      </c>
      <c r="G23" s="155"/>
      <c r="H23" s="155"/>
      <c r="I23" s="155"/>
      <c r="J23" s="155"/>
      <c r="K23" s="155"/>
      <c r="L23" s="154"/>
      <c r="S23" s="1"/>
    </row>
    <row r="24" spans="1:22">
      <c r="A24" s="157">
        <v>5</v>
      </c>
      <c r="B24" s="54">
        <v>501</v>
      </c>
      <c r="C24" s="51">
        <v>22</v>
      </c>
      <c r="D24" s="51">
        <v>23</v>
      </c>
      <c r="E24" s="51">
        <v>24</v>
      </c>
      <c r="F24" s="51">
        <v>25</v>
      </c>
      <c r="G24" s="51">
        <v>38</v>
      </c>
      <c r="H24" s="51">
        <v>39</v>
      </c>
      <c r="I24" s="51">
        <v>40</v>
      </c>
      <c r="J24" s="51">
        <v>41</v>
      </c>
      <c r="K24" s="51">
        <v>42</v>
      </c>
      <c r="L24" s="154"/>
      <c r="S24" s="92" t="s">
        <v>19</v>
      </c>
      <c r="T24" s="12" t="s">
        <v>10</v>
      </c>
      <c r="U24" s="13">
        <f>SUM(U25:U27)</f>
        <v>63</v>
      </c>
      <c r="V24" s="73">
        <v>1</v>
      </c>
    </row>
    <row r="25" spans="1:22">
      <c r="A25" s="157"/>
      <c r="B25" s="54">
        <v>502</v>
      </c>
      <c r="C25" s="51">
        <v>26</v>
      </c>
      <c r="D25" s="51">
        <v>27</v>
      </c>
      <c r="E25" s="51">
        <v>28</v>
      </c>
      <c r="F25" s="51">
        <v>29</v>
      </c>
      <c r="G25" s="155"/>
      <c r="H25" s="155"/>
      <c r="I25" s="155"/>
      <c r="J25" s="155"/>
      <c r="K25" s="155"/>
      <c r="L25" s="154"/>
      <c r="S25" s="93"/>
      <c r="T25" s="14" t="s">
        <v>11</v>
      </c>
      <c r="U25" s="13" cm="1">
        <f t="array" ref="U25">CountByColor(C60:K71, T25)</f>
        <v>3</v>
      </c>
      <c r="V25" s="74">
        <v>4.7600000000000003E-2</v>
      </c>
    </row>
    <row r="26" spans="1:22">
      <c r="A26" s="157"/>
      <c r="B26" s="54">
        <v>503</v>
      </c>
      <c r="C26" s="51">
        <v>30</v>
      </c>
      <c r="D26" s="51">
        <v>31</v>
      </c>
      <c r="E26" s="51">
        <v>32</v>
      </c>
      <c r="F26" s="51">
        <v>33</v>
      </c>
      <c r="G26" s="155"/>
      <c r="H26" s="155"/>
      <c r="I26" s="155"/>
      <c r="J26" s="155"/>
      <c r="K26" s="155"/>
      <c r="L26" s="154"/>
      <c r="S26" s="93"/>
      <c r="T26" s="15" t="s">
        <v>12</v>
      </c>
      <c r="U26" s="13" cm="1">
        <f t="array" ref="U26">CountByColor(C60:K71, T26)</f>
        <v>0</v>
      </c>
      <c r="V26" s="73">
        <v>0</v>
      </c>
    </row>
    <row r="27" spans="1:22">
      <c r="A27" s="157"/>
      <c r="B27" s="54">
        <v>504</v>
      </c>
      <c r="C27" s="51">
        <v>34</v>
      </c>
      <c r="D27" s="51">
        <v>35</v>
      </c>
      <c r="E27" s="51">
        <v>36</v>
      </c>
      <c r="F27" s="51">
        <v>37</v>
      </c>
      <c r="G27" s="155"/>
      <c r="H27" s="155"/>
      <c r="I27" s="155"/>
      <c r="J27" s="155"/>
      <c r="K27" s="155"/>
      <c r="L27" s="154"/>
      <c r="S27" s="94"/>
      <c r="T27" s="16" t="s">
        <v>13</v>
      </c>
      <c r="U27" s="13" cm="1">
        <f t="array" ref="U27">CountByColor(C60:K71, T27)</f>
        <v>60</v>
      </c>
      <c r="V27" s="74">
        <v>0.95240000000000002</v>
      </c>
    </row>
    <row r="28" spans="1:22">
      <c r="A28" s="157">
        <v>6</v>
      </c>
      <c r="B28" s="54">
        <v>601</v>
      </c>
      <c r="C28" s="51">
        <v>43</v>
      </c>
      <c r="D28" s="51">
        <v>44</v>
      </c>
      <c r="E28" s="51">
        <v>45</v>
      </c>
      <c r="F28" s="51">
        <v>46</v>
      </c>
      <c r="G28" s="51">
        <v>59</v>
      </c>
      <c r="H28" s="51">
        <v>60</v>
      </c>
      <c r="I28" s="51">
        <v>61</v>
      </c>
      <c r="J28" s="51">
        <v>62</v>
      </c>
      <c r="K28" s="51">
        <v>63</v>
      </c>
      <c r="L28" s="154"/>
      <c r="S28" s="1"/>
    </row>
    <row r="29" spans="1:22">
      <c r="A29" s="157"/>
      <c r="B29" s="54">
        <v>602</v>
      </c>
      <c r="C29" s="51">
        <v>47</v>
      </c>
      <c r="D29" s="51">
        <v>48</v>
      </c>
      <c r="E29" s="51">
        <v>49</v>
      </c>
      <c r="F29" s="51">
        <v>50</v>
      </c>
      <c r="G29" s="155"/>
      <c r="H29" s="155"/>
      <c r="I29" s="155"/>
      <c r="J29" s="155"/>
      <c r="K29" s="155"/>
      <c r="L29" s="154"/>
      <c r="S29" s="92" t="s">
        <v>20</v>
      </c>
      <c r="T29" s="12" t="s">
        <v>10</v>
      </c>
      <c r="U29" s="13">
        <f>SUM(U30:U32)</f>
        <v>63</v>
      </c>
      <c r="V29" s="73">
        <v>1</v>
      </c>
    </row>
    <row r="30" spans="1:22">
      <c r="A30" s="157"/>
      <c r="B30" s="54">
        <v>603</v>
      </c>
      <c r="C30" s="51">
        <v>51</v>
      </c>
      <c r="D30" s="51">
        <v>52</v>
      </c>
      <c r="E30" s="51">
        <v>53</v>
      </c>
      <c r="F30" s="51">
        <v>54</v>
      </c>
      <c r="G30" s="155"/>
      <c r="H30" s="155"/>
      <c r="I30" s="155"/>
      <c r="J30" s="155"/>
      <c r="K30" s="155"/>
      <c r="L30" s="154"/>
      <c r="S30" s="93"/>
      <c r="T30" s="14" t="s">
        <v>11</v>
      </c>
      <c r="U30" s="13" cm="1">
        <f t="array" ref="U30">CountByColor(C72:K83, T30)</f>
        <v>0</v>
      </c>
      <c r="V30" s="73">
        <v>0</v>
      </c>
    </row>
    <row r="31" spans="1:22">
      <c r="A31" s="157"/>
      <c r="B31" s="54">
        <v>604</v>
      </c>
      <c r="C31" s="51">
        <v>55</v>
      </c>
      <c r="D31" s="51">
        <v>56</v>
      </c>
      <c r="E31" s="51">
        <v>57</v>
      </c>
      <c r="F31" s="51">
        <v>58</v>
      </c>
      <c r="G31" s="155"/>
      <c r="H31" s="155"/>
      <c r="I31" s="155"/>
      <c r="J31" s="155"/>
      <c r="K31" s="155"/>
      <c r="L31" s="154"/>
      <c r="O31" s="6"/>
      <c r="S31" s="93"/>
      <c r="T31" s="15" t="s">
        <v>12</v>
      </c>
      <c r="U31" s="13" cm="1">
        <f t="array" ref="U31">CountByColor(C72:K83, T31)</f>
        <v>0</v>
      </c>
      <c r="V31" s="73">
        <v>0</v>
      </c>
    </row>
    <row r="32" spans="1:22">
      <c r="A32" s="157">
        <v>7</v>
      </c>
      <c r="B32" s="54">
        <v>701</v>
      </c>
      <c r="C32" s="51">
        <v>64</v>
      </c>
      <c r="D32" s="51">
        <v>65</v>
      </c>
      <c r="E32" s="51">
        <v>66</v>
      </c>
      <c r="F32" s="51">
        <v>67</v>
      </c>
      <c r="G32" s="51">
        <v>80</v>
      </c>
      <c r="H32" s="51">
        <v>81</v>
      </c>
      <c r="I32" s="51">
        <v>82</v>
      </c>
      <c r="J32" s="51">
        <v>83</v>
      </c>
      <c r="K32" s="51">
        <v>84</v>
      </c>
      <c r="L32" s="154"/>
      <c r="O32" s="6"/>
      <c r="S32" s="94"/>
      <c r="T32" s="16" t="s">
        <v>13</v>
      </c>
      <c r="U32" s="13" cm="1">
        <f t="array" ref="U32">CountByColor(C72:K83, T32)</f>
        <v>63</v>
      </c>
      <c r="V32" s="73">
        <v>1</v>
      </c>
    </row>
    <row r="33" spans="1:22">
      <c r="A33" s="157"/>
      <c r="B33" s="54">
        <v>702</v>
      </c>
      <c r="C33" s="51">
        <v>68</v>
      </c>
      <c r="D33" s="51">
        <v>69</v>
      </c>
      <c r="E33" s="51">
        <v>70</v>
      </c>
      <c r="F33" s="51">
        <v>71</v>
      </c>
      <c r="G33" s="155"/>
      <c r="H33" s="155"/>
      <c r="I33" s="155"/>
      <c r="J33" s="155"/>
      <c r="K33" s="155"/>
      <c r="L33" s="154"/>
      <c r="O33" s="6"/>
      <c r="S33" s="1"/>
    </row>
    <row r="34" spans="1:22">
      <c r="A34" s="157"/>
      <c r="B34" s="54">
        <v>703</v>
      </c>
      <c r="C34" s="51">
        <v>72</v>
      </c>
      <c r="D34" s="51">
        <v>73</v>
      </c>
      <c r="E34" s="51">
        <v>74</v>
      </c>
      <c r="F34" s="51">
        <v>75</v>
      </c>
      <c r="G34" s="155"/>
      <c r="H34" s="155"/>
      <c r="I34" s="155"/>
      <c r="J34" s="155"/>
      <c r="K34" s="155"/>
      <c r="L34" s="154"/>
      <c r="O34" s="6"/>
      <c r="S34" s="92" t="s">
        <v>21</v>
      </c>
      <c r="T34" s="12" t="s">
        <v>10</v>
      </c>
      <c r="U34" s="13">
        <f>SUM(U35:U37)</f>
        <v>63</v>
      </c>
      <c r="V34" s="73">
        <v>1</v>
      </c>
    </row>
    <row r="35" spans="1:22">
      <c r="A35" s="157"/>
      <c r="B35" s="54">
        <v>704</v>
      </c>
      <c r="C35" s="51">
        <v>76</v>
      </c>
      <c r="D35" s="51">
        <v>77</v>
      </c>
      <c r="E35" s="51">
        <v>78</v>
      </c>
      <c r="F35" s="51">
        <v>79</v>
      </c>
      <c r="G35" s="155"/>
      <c r="H35" s="155"/>
      <c r="I35" s="155"/>
      <c r="J35" s="155"/>
      <c r="K35" s="155"/>
      <c r="L35" s="154"/>
      <c r="O35" s="6"/>
      <c r="S35" s="93"/>
      <c r="T35" s="14" t="s">
        <v>11</v>
      </c>
      <c r="U35" s="13" cm="1">
        <f t="array" ref="U35">CountByColor(C84:K95, T35)</f>
        <v>0</v>
      </c>
      <c r="V35" s="73">
        <v>0</v>
      </c>
    </row>
    <row r="36" spans="1:22">
      <c r="A36" s="157">
        <v>8</v>
      </c>
      <c r="B36" s="54">
        <v>801</v>
      </c>
      <c r="C36" s="53">
        <v>1</v>
      </c>
      <c r="D36" s="51">
        <v>2</v>
      </c>
      <c r="E36" s="51">
        <v>3</v>
      </c>
      <c r="F36" s="51">
        <v>4</v>
      </c>
      <c r="G36" s="51">
        <v>17</v>
      </c>
      <c r="H36" s="51">
        <v>18</v>
      </c>
      <c r="I36" s="51">
        <v>19</v>
      </c>
      <c r="J36" s="51">
        <v>20</v>
      </c>
      <c r="K36" s="51">
        <v>21</v>
      </c>
      <c r="L36" s="154" t="s">
        <v>15</v>
      </c>
      <c r="N36" s="1"/>
      <c r="O36" s="6"/>
      <c r="S36" s="93"/>
      <c r="T36" s="15" t="s">
        <v>12</v>
      </c>
      <c r="U36" s="13" cm="1">
        <f t="array" ref="U36">CountByColor(C118:K135, T36)</f>
        <v>0</v>
      </c>
      <c r="V36" s="73">
        <v>0</v>
      </c>
    </row>
    <row r="37" spans="1:22">
      <c r="A37" s="157"/>
      <c r="B37" s="54">
        <v>802</v>
      </c>
      <c r="C37" s="51">
        <v>5</v>
      </c>
      <c r="D37" s="51">
        <v>6</v>
      </c>
      <c r="E37" s="51">
        <v>7</v>
      </c>
      <c r="F37" s="51">
        <v>8</v>
      </c>
      <c r="G37" s="155"/>
      <c r="H37" s="155"/>
      <c r="I37" s="155"/>
      <c r="J37" s="155"/>
      <c r="K37" s="155"/>
      <c r="L37" s="154"/>
      <c r="N37" s="1"/>
      <c r="O37" s="6"/>
      <c r="S37" s="94"/>
      <c r="T37" s="16" t="s">
        <v>13</v>
      </c>
      <c r="U37" s="13" cm="1">
        <f t="array" ref="U37">CountByColor(C84:K95, T37)</f>
        <v>63</v>
      </c>
      <c r="V37" s="73">
        <v>1</v>
      </c>
    </row>
    <row r="38" spans="1:22">
      <c r="A38" s="157"/>
      <c r="B38" s="54">
        <v>803</v>
      </c>
      <c r="C38" s="51">
        <v>9</v>
      </c>
      <c r="D38" s="51">
        <v>10</v>
      </c>
      <c r="E38" s="51">
        <v>11</v>
      </c>
      <c r="F38" s="60">
        <v>12</v>
      </c>
      <c r="G38" s="155"/>
      <c r="H38" s="155"/>
      <c r="I38" s="155"/>
      <c r="J38" s="155"/>
      <c r="K38" s="155"/>
      <c r="L38" s="154"/>
      <c r="N38" s="1"/>
      <c r="S38" s="1"/>
    </row>
    <row r="39" spans="1:22">
      <c r="A39" s="157"/>
      <c r="B39" s="54">
        <v>804</v>
      </c>
      <c r="C39" s="51">
        <v>13</v>
      </c>
      <c r="D39" s="51">
        <v>14</v>
      </c>
      <c r="E39" s="51">
        <v>15</v>
      </c>
      <c r="F39" s="51">
        <v>16</v>
      </c>
      <c r="G39" s="155"/>
      <c r="H39" s="155"/>
      <c r="I39" s="155"/>
      <c r="J39" s="155"/>
      <c r="K39" s="155"/>
      <c r="L39" s="154"/>
      <c r="N39" s="17"/>
      <c r="S39" s="92" t="s">
        <v>22</v>
      </c>
      <c r="T39" s="12" t="s">
        <v>10</v>
      </c>
      <c r="U39" s="13">
        <f>SUM(U40:U42)</f>
        <v>68</v>
      </c>
      <c r="V39" s="73">
        <v>1</v>
      </c>
    </row>
    <row r="40" spans="1:22">
      <c r="A40" s="157">
        <v>9</v>
      </c>
      <c r="B40" s="54">
        <v>901</v>
      </c>
      <c r="C40" s="60">
        <v>22</v>
      </c>
      <c r="D40" s="60">
        <v>23</v>
      </c>
      <c r="E40" s="60">
        <v>24</v>
      </c>
      <c r="F40" s="60">
        <v>25</v>
      </c>
      <c r="G40" s="60">
        <v>38</v>
      </c>
      <c r="H40" s="60">
        <v>39</v>
      </c>
      <c r="I40" s="51">
        <v>40</v>
      </c>
      <c r="J40" s="60">
        <v>41</v>
      </c>
      <c r="K40" s="60">
        <v>42</v>
      </c>
      <c r="L40" s="154"/>
      <c r="M40" s="1"/>
      <c r="N40" s="6"/>
      <c r="R40" s="1"/>
      <c r="S40" s="93"/>
      <c r="T40" s="14" t="s">
        <v>11</v>
      </c>
      <c r="U40" s="13" cm="1">
        <f t="array" ref="U40">CountByColor(C96:K108, T40)</f>
        <v>4</v>
      </c>
      <c r="V40" s="74">
        <v>5.8799999999999998E-2</v>
      </c>
    </row>
    <row r="41" spans="1:22">
      <c r="A41" s="157"/>
      <c r="B41" s="54">
        <v>902</v>
      </c>
      <c r="C41" s="60">
        <v>26</v>
      </c>
      <c r="D41" s="60">
        <v>27</v>
      </c>
      <c r="E41" s="60">
        <v>28</v>
      </c>
      <c r="F41" s="60">
        <v>29</v>
      </c>
      <c r="G41" s="155"/>
      <c r="H41" s="155"/>
      <c r="I41" s="155"/>
      <c r="J41" s="155"/>
      <c r="K41" s="155"/>
      <c r="L41" s="154"/>
      <c r="M41" s="1"/>
      <c r="N41" s="6"/>
      <c r="R41" s="1"/>
      <c r="S41" s="93"/>
      <c r="T41" s="15" t="s">
        <v>12</v>
      </c>
      <c r="U41" s="13" cm="1">
        <f t="array" ref="U41">CountByColor(C96:K108, T41)</f>
        <v>2</v>
      </c>
      <c r="V41" s="74">
        <v>2.9399999999999999E-2</v>
      </c>
    </row>
    <row r="42" spans="1:22">
      <c r="A42" s="157"/>
      <c r="B42" s="54">
        <v>903</v>
      </c>
      <c r="C42" s="60">
        <v>30</v>
      </c>
      <c r="D42" s="60">
        <v>31</v>
      </c>
      <c r="E42" s="60">
        <v>32</v>
      </c>
      <c r="F42" s="60">
        <v>33</v>
      </c>
      <c r="G42" s="155"/>
      <c r="H42" s="155"/>
      <c r="I42" s="155"/>
      <c r="J42" s="155"/>
      <c r="K42" s="155"/>
      <c r="L42" s="154"/>
      <c r="M42" s="1"/>
      <c r="N42" s="6"/>
      <c r="R42" s="1"/>
      <c r="S42" s="94"/>
      <c r="T42" s="16" t="s">
        <v>13</v>
      </c>
      <c r="U42" s="13" cm="1">
        <f t="array" ref="U42">CountByColor(C96:K108, T42)</f>
        <v>62</v>
      </c>
      <c r="V42" s="74">
        <v>0.91180000000000005</v>
      </c>
    </row>
    <row r="43" spans="1:22">
      <c r="A43" s="157"/>
      <c r="B43" s="54">
        <v>904</v>
      </c>
      <c r="C43" s="60">
        <v>34</v>
      </c>
      <c r="D43" s="60">
        <v>35</v>
      </c>
      <c r="E43" s="60">
        <v>36</v>
      </c>
      <c r="F43" s="60">
        <v>37</v>
      </c>
      <c r="G43" s="155"/>
      <c r="H43" s="155"/>
      <c r="I43" s="155"/>
      <c r="J43" s="155"/>
      <c r="K43" s="155"/>
      <c r="L43" s="154"/>
      <c r="M43" s="1"/>
      <c r="N43" s="6"/>
      <c r="R43" s="1"/>
    </row>
    <row r="44" spans="1:22">
      <c r="A44" s="157">
        <v>10</v>
      </c>
      <c r="B44" s="54">
        <v>1001</v>
      </c>
      <c r="C44" s="51">
        <v>43</v>
      </c>
      <c r="D44" s="60">
        <v>44</v>
      </c>
      <c r="E44" s="51">
        <v>45</v>
      </c>
      <c r="F44" s="51">
        <v>46</v>
      </c>
      <c r="G44" s="51">
        <v>59</v>
      </c>
      <c r="H44" s="51">
        <v>60</v>
      </c>
      <c r="I44" s="51">
        <v>61</v>
      </c>
      <c r="J44" s="51">
        <v>62</v>
      </c>
      <c r="K44" s="51">
        <v>63</v>
      </c>
      <c r="L44" s="154"/>
      <c r="M44" s="1"/>
      <c r="N44" s="6"/>
      <c r="R44" s="1"/>
    </row>
    <row r="45" spans="1:22">
      <c r="A45" s="157"/>
      <c r="B45" s="54">
        <v>1002</v>
      </c>
      <c r="C45" s="51">
        <v>47</v>
      </c>
      <c r="D45" s="51">
        <v>48</v>
      </c>
      <c r="E45" s="51">
        <v>49</v>
      </c>
      <c r="F45" s="51">
        <v>50</v>
      </c>
      <c r="G45" s="155"/>
      <c r="H45" s="155"/>
      <c r="I45" s="155"/>
      <c r="J45" s="155"/>
      <c r="K45" s="155"/>
      <c r="L45" s="154"/>
      <c r="M45" s="1"/>
      <c r="N45" s="6"/>
      <c r="R45" s="1"/>
    </row>
    <row r="46" spans="1:22">
      <c r="A46" s="157"/>
      <c r="B46" s="54">
        <v>1003</v>
      </c>
      <c r="C46" s="51">
        <v>51</v>
      </c>
      <c r="D46" s="51">
        <v>52</v>
      </c>
      <c r="E46" s="51">
        <v>53</v>
      </c>
      <c r="F46" s="51">
        <v>54</v>
      </c>
      <c r="G46" s="155"/>
      <c r="H46" s="155"/>
      <c r="I46" s="155"/>
      <c r="J46" s="155"/>
      <c r="K46" s="155"/>
      <c r="L46" s="154"/>
      <c r="M46" s="1"/>
      <c r="N46" s="6"/>
      <c r="R46" s="1"/>
    </row>
    <row r="47" spans="1:22">
      <c r="A47" s="157"/>
      <c r="B47" s="54">
        <v>1004</v>
      </c>
      <c r="C47" s="51">
        <v>55</v>
      </c>
      <c r="D47" s="51">
        <v>56</v>
      </c>
      <c r="E47" s="51">
        <v>57</v>
      </c>
      <c r="F47" s="51">
        <v>58</v>
      </c>
      <c r="G47" s="155"/>
      <c r="H47" s="155"/>
      <c r="I47" s="155"/>
      <c r="J47" s="155"/>
      <c r="K47" s="155"/>
      <c r="L47" s="154"/>
      <c r="M47" s="1"/>
      <c r="N47" s="6"/>
      <c r="R47" s="1"/>
    </row>
    <row r="48" spans="1:22">
      <c r="A48" s="157">
        <v>11</v>
      </c>
      <c r="B48" s="54">
        <v>1101</v>
      </c>
      <c r="C48" s="51">
        <v>1</v>
      </c>
      <c r="D48" s="51">
        <v>2</v>
      </c>
      <c r="E48" s="51">
        <v>3</v>
      </c>
      <c r="F48" s="51">
        <v>4</v>
      </c>
      <c r="G48" s="51">
        <v>17</v>
      </c>
      <c r="H48" s="51">
        <v>18</v>
      </c>
      <c r="I48" s="51">
        <v>19</v>
      </c>
      <c r="J48" s="51">
        <v>20</v>
      </c>
      <c r="K48" s="51">
        <v>21</v>
      </c>
      <c r="L48" s="154" t="s">
        <v>16</v>
      </c>
      <c r="M48" s="1"/>
      <c r="N48" s="6"/>
      <c r="O48" s="6"/>
      <c r="R48" s="1"/>
    </row>
    <row r="49" spans="1:18">
      <c r="A49" s="157"/>
      <c r="B49" s="54">
        <v>1102</v>
      </c>
      <c r="C49" s="51">
        <v>5</v>
      </c>
      <c r="D49" s="51">
        <v>6</v>
      </c>
      <c r="E49" s="51">
        <v>7</v>
      </c>
      <c r="F49" s="51">
        <v>8</v>
      </c>
      <c r="G49" s="155"/>
      <c r="H49" s="155"/>
      <c r="I49" s="155"/>
      <c r="J49" s="155"/>
      <c r="K49" s="155"/>
      <c r="L49" s="154"/>
      <c r="M49" s="1"/>
      <c r="N49" s="6"/>
      <c r="O49" s="6"/>
      <c r="R49" s="1"/>
    </row>
    <row r="50" spans="1:18">
      <c r="A50" s="157"/>
      <c r="B50" s="54">
        <v>1103</v>
      </c>
      <c r="C50" s="51">
        <v>9</v>
      </c>
      <c r="D50" s="51">
        <v>10</v>
      </c>
      <c r="E50" s="51">
        <v>11</v>
      </c>
      <c r="F50" s="51">
        <v>12</v>
      </c>
      <c r="G50" s="155"/>
      <c r="H50" s="155"/>
      <c r="I50" s="155"/>
      <c r="J50" s="155"/>
      <c r="K50" s="155"/>
      <c r="L50" s="154"/>
      <c r="O50" s="6"/>
    </row>
    <row r="51" spans="1:18">
      <c r="A51" s="157"/>
      <c r="B51" s="54">
        <v>1104</v>
      </c>
      <c r="C51" s="51">
        <v>13</v>
      </c>
      <c r="D51" s="51">
        <v>14</v>
      </c>
      <c r="E51" s="60">
        <v>15</v>
      </c>
      <c r="F51" s="60">
        <v>16</v>
      </c>
      <c r="G51" s="155"/>
      <c r="H51" s="155"/>
      <c r="I51" s="155"/>
      <c r="J51" s="155"/>
      <c r="K51" s="155"/>
      <c r="L51" s="154"/>
      <c r="O51" s="6"/>
    </row>
    <row r="52" spans="1:18">
      <c r="A52" s="157">
        <v>12</v>
      </c>
      <c r="B52" s="54">
        <v>1201</v>
      </c>
      <c r="C52" s="51">
        <v>22</v>
      </c>
      <c r="D52" s="51">
        <v>23</v>
      </c>
      <c r="E52" s="51">
        <v>24</v>
      </c>
      <c r="F52" s="51">
        <v>25</v>
      </c>
      <c r="G52" s="51">
        <v>38</v>
      </c>
      <c r="H52" s="51">
        <v>39</v>
      </c>
      <c r="I52" s="51">
        <v>40</v>
      </c>
      <c r="J52" s="51">
        <v>41</v>
      </c>
      <c r="K52" s="51">
        <v>42</v>
      </c>
      <c r="L52" s="154"/>
      <c r="O52" s="6"/>
    </row>
    <row r="53" spans="1:18">
      <c r="A53" s="157"/>
      <c r="B53" s="54">
        <v>1202</v>
      </c>
      <c r="C53" s="51">
        <v>26</v>
      </c>
      <c r="D53" s="51">
        <v>27</v>
      </c>
      <c r="E53" s="51">
        <v>28</v>
      </c>
      <c r="F53" s="51">
        <v>29</v>
      </c>
      <c r="G53" s="155"/>
      <c r="H53" s="155"/>
      <c r="I53" s="155"/>
      <c r="J53" s="155"/>
      <c r="K53" s="155"/>
      <c r="L53" s="154"/>
      <c r="O53" s="6"/>
    </row>
    <row r="54" spans="1:18">
      <c r="A54" s="157"/>
      <c r="B54" s="54">
        <v>1203</v>
      </c>
      <c r="C54" s="51">
        <v>30</v>
      </c>
      <c r="D54" s="51">
        <v>31</v>
      </c>
      <c r="E54" s="51">
        <v>32</v>
      </c>
      <c r="F54" s="51">
        <v>33</v>
      </c>
      <c r="G54" s="155"/>
      <c r="H54" s="155"/>
      <c r="I54" s="155"/>
      <c r="J54" s="155"/>
      <c r="K54" s="155"/>
      <c r="L54" s="154"/>
      <c r="O54" s="6"/>
    </row>
    <row r="55" spans="1:18">
      <c r="A55" s="157"/>
      <c r="B55" s="54">
        <v>1204</v>
      </c>
      <c r="C55" s="60">
        <v>34</v>
      </c>
      <c r="D55" s="51">
        <v>35</v>
      </c>
      <c r="E55" s="51">
        <v>36</v>
      </c>
      <c r="F55" s="51">
        <v>37</v>
      </c>
      <c r="G55" s="155"/>
      <c r="H55" s="155"/>
      <c r="I55" s="155"/>
      <c r="J55" s="155"/>
      <c r="K55" s="155"/>
      <c r="L55" s="154"/>
      <c r="O55" s="6"/>
    </row>
    <row r="56" spans="1:18">
      <c r="A56" s="157">
        <v>13</v>
      </c>
      <c r="B56" s="54">
        <v>1301</v>
      </c>
      <c r="C56" s="51">
        <v>43</v>
      </c>
      <c r="D56" s="51">
        <v>44</v>
      </c>
      <c r="E56" s="51">
        <v>45</v>
      </c>
      <c r="F56" s="51">
        <v>46</v>
      </c>
      <c r="G56" s="51">
        <v>59</v>
      </c>
      <c r="H56" s="51">
        <v>60</v>
      </c>
      <c r="I56" s="51">
        <v>61</v>
      </c>
      <c r="J56" s="51">
        <v>62</v>
      </c>
      <c r="K56" s="51">
        <v>63</v>
      </c>
      <c r="L56" s="154"/>
      <c r="O56" s="6"/>
    </row>
    <row r="57" spans="1:18">
      <c r="A57" s="157"/>
      <c r="B57" s="54">
        <v>1302</v>
      </c>
      <c r="C57" s="51">
        <v>47</v>
      </c>
      <c r="D57" s="51">
        <v>48</v>
      </c>
      <c r="E57" s="51">
        <v>49</v>
      </c>
      <c r="F57" s="51">
        <v>50</v>
      </c>
      <c r="G57" s="155"/>
      <c r="H57" s="155"/>
      <c r="I57" s="155"/>
      <c r="J57" s="155"/>
      <c r="K57" s="155"/>
      <c r="L57" s="154"/>
      <c r="O57" s="6"/>
    </row>
    <row r="58" spans="1:18">
      <c r="A58" s="157"/>
      <c r="B58" s="54">
        <v>1303</v>
      </c>
      <c r="C58" s="51">
        <v>51</v>
      </c>
      <c r="D58" s="51">
        <v>52</v>
      </c>
      <c r="E58" s="51">
        <v>53</v>
      </c>
      <c r="F58" s="53">
        <v>54</v>
      </c>
      <c r="G58" s="155"/>
      <c r="H58" s="155"/>
      <c r="I58" s="155"/>
      <c r="J58" s="155"/>
      <c r="K58" s="155"/>
      <c r="L58" s="154"/>
      <c r="O58" s="6"/>
    </row>
    <row r="59" spans="1:18">
      <c r="A59" s="157"/>
      <c r="B59" s="54">
        <v>1304</v>
      </c>
      <c r="C59" s="51">
        <v>55</v>
      </c>
      <c r="D59" s="51">
        <v>56</v>
      </c>
      <c r="E59" s="51">
        <v>57</v>
      </c>
      <c r="F59" s="51">
        <v>58</v>
      </c>
      <c r="G59" s="155"/>
      <c r="H59" s="155"/>
      <c r="I59" s="155"/>
      <c r="J59" s="155"/>
      <c r="K59" s="155"/>
      <c r="L59" s="154"/>
      <c r="O59" s="6"/>
    </row>
    <row r="60" spans="1:18">
      <c r="A60" s="157">
        <v>14</v>
      </c>
      <c r="B60" s="54">
        <v>1401</v>
      </c>
      <c r="C60" s="51">
        <v>1</v>
      </c>
      <c r="D60" s="51">
        <v>2</v>
      </c>
      <c r="E60" s="51">
        <v>3</v>
      </c>
      <c r="F60" s="51">
        <v>4</v>
      </c>
      <c r="G60" s="51">
        <v>17</v>
      </c>
      <c r="H60" s="51">
        <v>18</v>
      </c>
      <c r="I60" s="51">
        <v>19</v>
      </c>
      <c r="J60" s="51">
        <v>20</v>
      </c>
      <c r="K60" s="51">
        <v>21</v>
      </c>
      <c r="L60" s="154" t="s">
        <v>18</v>
      </c>
      <c r="O60" s="6"/>
    </row>
    <row r="61" spans="1:18">
      <c r="A61" s="157"/>
      <c r="B61" s="54">
        <v>1402</v>
      </c>
      <c r="C61" s="51">
        <v>5</v>
      </c>
      <c r="D61" s="51">
        <v>6</v>
      </c>
      <c r="E61" s="51">
        <v>7</v>
      </c>
      <c r="F61" s="51">
        <v>8</v>
      </c>
      <c r="G61" s="155"/>
      <c r="H61" s="155"/>
      <c r="I61" s="155"/>
      <c r="J61" s="155"/>
      <c r="K61" s="155"/>
      <c r="L61" s="154"/>
      <c r="O61" s="6"/>
    </row>
    <row r="62" spans="1:18">
      <c r="A62" s="157"/>
      <c r="B62" s="54">
        <v>1403</v>
      </c>
      <c r="C62" s="51">
        <v>9</v>
      </c>
      <c r="D62" s="51">
        <v>10</v>
      </c>
      <c r="E62" s="51">
        <v>11</v>
      </c>
      <c r="F62" s="51">
        <v>12</v>
      </c>
      <c r="G62" s="155"/>
      <c r="H62" s="155"/>
      <c r="I62" s="155"/>
      <c r="J62" s="155"/>
      <c r="K62" s="155"/>
      <c r="L62" s="154"/>
      <c r="O62" s="6"/>
    </row>
    <row r="63" spans="1:18">
      <c r="A63" s="157"/>
      <c r="B63" s="54">
        <v>1404</v>
      </c>
      <c r="C63" s="51">
        <v>13</v>
      </c>
      <c r="D63" s="51">
        <v>14</v>
      </c>
      <c r="E63" s="51">
        <v>15</v>
      </c>
      <c r="F63" s="51">
        <v>16</v>
      </c>
      <c r="G63" s="155"/>
      <c r="H63" s="155"/>
      <c r="I63" s="155"/>
      <c r="J63" s="155"/>
      <c r="K63" s="155"/>
      <c r="L63" s="154"/>
      <c r="O63" s="6"/>
    </row>
    <row r="64" spans="1:18">
      <c r="A64" s="157">
        <v>15</v>
      </c>
      <c r="B64" s="54">
        <v>1501</v>
      </c>
      <c r="C64" s="51">
        <v>22</v>
      </c>
      <c r="D64" s="51">
        <v>23</v>
      </c>
      <c r="E64" s="51">
        <v>24</v>
      </c>
      <c r="F64" s="51">
        <v>25</v>
      </c>
      <c r="G64" s="51">
        <v>38</v>
      </c>
      <c r="H64" s="51">
        <v>39</v>
      </c>
      <c r="I64" s="51">
        <v>40</v>
      </c>
      <c r="J64" s="51">
        <v>41</v>
      </c>
      <c r="K64" s="51">
        <v>42</v>
      </c>
      <c r="L64" s="154"/>
      <c r="O64" s="6"/>
    </row>
    <row r="65" spans="1:38">
      <c r="A65" s="157"/>
      <c r="B65" s="54">
        <v>1502</v>
      </c>
      <c r="C65" s="51">
        <v>26</v>
      </c>
      <c r="D65" s="51">
        <v>27</v>
      </c>
      <c r="E65" s="51">
        <v>28</v>
      </c>
      <c r="F65" s="51">
        <v>29</v>
      </c>
      <c r="G65" s="155"/>
      <c r="H65" s="155"/>
      <c r="I65" s="155"/>
      <c r="J65" s="155"/>
      <c r="K65" s="155"/>
      <c r="L65" s="154"/>
      <c r="O65" s="6"/>
    </row>
    <row r="66" spans="1:38">
      <c r="A66" s="157"/>
      <c r="B66" s="54">
        <v>1503</v>
      </c>
      <c r="C66" s="51">
        <v>30</v>
      </c>
      <c r="D66" s="51">
        <v>31</v>
      </c>
      <c r="E66" s="51">
        <v>32</v>
      </c>
      <c r="F66" s="51">
        <v>33</v>
      </c>
      <c r="G66" s="155"/>
      <c r="H66" s="155"/>
      <c r="I66" s="155"/>
      <c r="J66" s="155"/>
      <c r="K66" s="155"/>
      <c r="L66" s="154"/>
      <c r="O66" s="6"/>
    </row>
    <row r="67" spans="1:38">
      <c r="A67" s="157"/>
      <c r="B67" s="54">
        <v>1504</v>
      </c>
      <c r="C67" s="51">
        <v>34</v>
      </c>
      <c r="D67" s="51">
        <v>35</v>
      </c>
      <c r="E67" s="51">
        <v>36</v>
      </c>
      <c r="F67" s="51">
        <v>37</v>
      </c>
      <c r="G67" s="155"/>
      <c r="H67" s="155"/>
      <c r="I67" s="155"/>
      <c r="J67" s="155"/>
      <c r="K67" s="155"/>
      <c r="L67" s="154"/>
      <c r="O67" s="6"/>
    </row>
    <row r="68" spans="1:38">
      <c r="A68" s="157">
        <v>16</v>
      </c>
      <c r="B68" s="54">
        <v>1601</v>
      </c>
      <c r="C68" s="60">
        <v>43</v>
      </c>
      <c r="D68" s="51">
        <v>44</v>
      </c>
      <c r="E68" s="51">
        <v>45</v>
      </c>
      <c r="F68" s="51">
        <v>46</v>
      </c>
      <c r="G68" s="51">
        <v>59</v>
      </c>
      <c r="H68" s="51">
        <v>60</v>
      </c>
      <c r="I68" s="51">
        <v>61</v>
      </c>
      <c r="J68" s="51">
        <v>62</v>
      </c>
      <c r="K68" s="51">
        <v>63</v>
      </c>
      <c r="L68" s="154"/>
      <c r="O68" s="6"/>
      <c r="S68" s="18"/>
    </row>
    <row r="69" spans="1:38">
      <c r="A69" s="157"/>
      <c r="B69" s="54">
        <v>1602</v>
      </c>
      <c r="C69" s="51">
        <v>47</v>
      </c>
      <c r="D69" s="60">
        <v>48</v>
      </c>
      <c r="E69" s="51">
        <v>49</v>
      </c>
      <c r="F69" s="60">
        <v>50</v>
      </c>
      <c r="G69" s="155"/>
      <c r="H69" s="155"/>
      <c r="I69" s="155"/>
      <c r="J69" s="155"/>
      <c r="K69" s="155"/>
      <c r="L69" s="154"/>
      <c r="O69" s="6"/>
    </row>
    <row r="70" spans="1:38">
      <c r="A70" s="157"/>
      <c r="B70" s="54">
        <v>1603</v>
      </c>
      <c r="C70" s="51">
        <v>51</v>
      </c>
      <c r="D70" s="51">
        <v>52</v>
      </c>
      <c r="E70" s="51">
        <v>53</v>
      </c>
      <c r="F70" s="51">
        <v>54</v>
      </c>
      <c r="G70" s="155"/>
      <c r="H70" s="155"/>
      <c r="I70" s="155"/>
      <c r="J70" s="155"/>
      <c r="K70" s="155"/>
      <c r="L70" s="154"/>
      <c r="O70" s="6"/>
    </row>
    <row r="71" spans="1:38">
      <c r="A71" s="157"/>
      <c r="B71" s="54">
        <v>1604</v>
      </c>
      <c r="C71" s="51">
        <v>55</v>
      </c>
      <c r="D71" s="51">
        <v>56</v>
      </c>
      <c r="E71" s="51">
        <v>57</v>
      </c>
      <c r="F71" s="51">
        <v>58</v>
      </c>
      <c r="G71" s="155"/>
      <c r="H71" s="155"/>
      <c r="I71" s="155"/>
      <c r="J71" s="155"/>
      <c r="K71" s="155"/>
      <c r="L71" s="154"/>
      <c r="O71" s="6"/>
    </row>
    <row r="72" spans="1:38">
      <c r="A72" s="157">
        <v>17</v>
      </c>
      <c r="B72" s="54">
        <v>1701</v>
      </c>
      <c r="C72" s="51">
        <v>1</v>
      </c>
      <c r="D72" s="51">
        <v>2</v>
      </c>
      <c r="E72" s="51">
        <v>3</v>
      </c>
      <c r="F72" s="51">
        <v>4</v>
      </c>
      <c r="G72" s="51">
        <v>17</v>
      </c>
      <c r="H72" s="51">
        <v>18</v>
      </c>
      <c r="I72" s="51">
        <v>19</v>
      </c>
      <c r="J72" s="51">
        <v>20</v>
      </c>
      <c r="K72" s="51">
        <v>21</v>
      </c>
      <c r="L72" s="154" t="s">
        <v>20</v>
      </c>
      <c r="O72" s="6"/>
    </row>
    <row r="73" spans="1:38">
      <c r="A73" s="157"/>
      <c r="B73" s="54">
        <v>1702</v>
      </c>
      <c r="C73" s="51">
        <v>5</v>
      </c>
      <c r="D73" s="51">
        <v>6</v>
      </c>
      <c r="E73" s="51">
        <v>7</v>
      </c>
      <c r="F73" s="51">
        <v>8</v>
      </c>
      <c r="G73" s="155"/>
      <c r="H73" s="155"/>
      <c r="I73" s="155"/>
      <c r="J73" s="155"/>
      <c r="K73" s="155"/>
      <c r="L73" s="154"/>
      <c r="O73" s="6"/>
    </row>
    <row r="74" spans="1:38">
      <c r="A74" s="157"/>
      <c r="B74" s="54">
        <v>1703</v>
      </c>
      <c r="C74" s="51">
        <v>9</v>
      </c>
      <c r="D74" s="51">
        <v>10</v>
      </c>
      <c r="E74" s="51">
        <v>11</v>
      </c>
      <c r="F74" s="51">
        <v>12</v>
      </c>
      <c r="G74" s="155"/>
      <c r="H74" s="155"/>
      <c r="I74" s="155"/>
      <c r="J74" s="155"/>
      <c r="K74" s="155"/>
      <c r="L74" s="154"/>
      <c r="O74" s="6"/>
    </row>
    <row r="75" spans="1:38">
      <c r="A75" s="157"/>
      <c r="B75" s="54">
        <v>1704</v>
      </c>
      <c r="C75" s="51">
        <v>13</v>
      </c>
      <c r="D75" s="51">
        <v>14</v>
      </c>
      <c r="E75" s="51">
        <v>15</v>
      </c>
      <c r="F75" s="51">
        <v>16</v>
      </c>
      <c r="G75" s="155"/>
      <c r="H75" s="155"/>
      <c r="I75" s="155"/>
      <c r="J75" s="155"/>
      <c r="K75" s="155"/>
      <c r="L75" s="154"/>
      <c r="O75" s="6"/>
    </row>
    <row r="76" spans="1:38">
      <c r="A76" s="157">
        <v>18</v>
      </c>
      <c r="B76" s="54">
        <v>1801</v>
      </c>
      <c r="C76" s="51">
        <v>22</v>
      </c>
      <c r="D76" s="51">
        <v>23</v>
      </c>
      <c r="E76" s="51">
        <v>24</v>
      </c>
      <c r="F76" s="51">
        <v>25</v>
      </c>
      <c r="G76" s="51">
        <v>38</v>
      </c>
      <c r="H76" s="51">
        <v>39</v>
      </c>
      <c r="I76" s="51">
        <v>40</v>
      </c>
      <c r="J76" s="51">
        <v>41</v>
      </c>
      <c r="K76" s="51">
        <v>42</v>
      </c>
      <c r="L76" s="154"/>
      <c r="O76" s="6"/>
    </row>
    <row r="77" spans="1:38">
      <c r="A77" s="157"/>
      <c r="B77" s="54">
        <v>1802</v>
      </c>
      <c r="C77" s="51">
        <v>26</v>
      </c>
      <c r="D77" s="51">
        <v>27</v>
      </c>
      <c r="E77" s="51">
        <v>28</v>
      </c>
      <c r="F77" s="51">
        <v>29</v>
      </c>
      <c r="G77" s="155"/>
      <c r="H77" s="155"/>
      <c r="I77" s="155"/>
      <c r="J77" s="155"/>
      <c r="K77" s="155"/>
      <c r="L77" s="154"/>
      <c r="O77" s="6"/>
    </row>
    <row r="78" spans="1:38">
      <c r="A78" s="157"/>
      <c r="B78" s="54">
        <v>1803</v>
      </c>
      <c r="C78" s="51">
        <v>30</v>
      </c>
      <c r="D78" s="51">
        <v>31</v>
      </c>
      <c r="E78" s="51">
        <v>32</v>
      </c>
      <c r="F78" s="51">
        <v>33</v>
      </c>
      <c r="G78" s="155"/>
      <c r="H78" s="155"/>
      <c r="I78" s="155"/>
      <c r="J78" s="155"/>
      <c r="K78" s="155"/>
      <c r="L78" s="154"/>
      <c r="O78" s="6"/>
    </row>
    <row r="79" spans="1:38">
      <c r="A79" s="157"/>
      <c r="B79" s="54">
        <v>1804</v>
      </c>
      <c r="C79" s="51">
        <v>34</v>
      </c>
      <c r="D79" s="51">
        <v>35</v>
      </c>
      <c r="E79" s="51">
        <v>36</v>
      </c>
      <c r="F79" s="51">
        <v>37</v>
      </c>
      <c r="G79" s="155"/>
      <c r="H79" s="155"/>
      <c r="I79" s="155"/>
      <c r="J79" s="155"/>
      <c r="K79" s="155"/>
      <c r="L79" s="154"/>
      <c r="O79" s="6"/>
    </row>
    <row r="80" spans="1:38">
      <c r="A80" s="157">
        <v>19</v>
      </c>
      <c r="B80" s="54">
        <v>1901</v>
      </c>
      <c r="C80" s="51">
        <v>43</v>
      </c>
      <c r="D80" s="51">
        <v>44</v>
      </c>
      <c r="E80" s="51">
        <v>45</v>
      </c>
      <c r="F80" s="51">
        <v>46</v>
      </c>
      <c r="G80" s="51">
        <v>59</v>
      </c>
      <c r="H80" s="51">
        <v>60</v>
      </c>
      <c r="I80" s="51">
        <v>61</v>
      </c>
      <c r="J80" s="51">
        <v>62</v>
      </c>
      <c r="K80" s="51">
        <v>63</v>
      </c>
      <c r="L80" s="154"/>
      <c r="O80" s="6"/>
      <c r="AF80" s="92">
        <v>45994</v>
      </c>
      <c r="AG80" s="12" t="s">
        <v>10</v>
      </c>
      <c r="AH80" s="13">
        <f>SUM(AH81:AH83)</f>
        <v>0</v>
      </c>
      <c r="AJ80" s="92" t="s">
        <v>9</v>
      </c>
      <c r="AK80" s="12" t="s">
        <v>10</v>
      </c>
      <c r="AL80" s="13">
        <f>SUM(AL81:AL83)</f>
        <v>0</v>
      </c>
    </row>
    <row r="81" spans="1:38">
      <c r="A81" s="157"/>
      <c r="B81" s="54">
        <v>1902</v>
      </c>
      <c r="C81" s="51">
        <v>47</v>
      </c>
      <c r="D81" s="51">
        <v>48</v>
      </c>
      <c r="E81" s="51">
        <v>49</v>
      </c>
      <c r="F81" s="51">
        <v>50</v>
      </c>
      <c r="G81" s="155"/>
      <c r="H81" s="155"/>
      <c r="I81" s="155"/>
      <c r="J81" s="155"/>
      <c r="K81" s="155"/>
      <c r="L81" s="154"/>
      <c r="O81" s="6"/>
      <c r="AF81" s="93"/>
      <c r="AG81" s="14" t="s">
        <v>11</v>
      </c>
      <c r="AH81" s="13" cm="1">
        <f t="array" ref="AH81">CountByColor(U92:AC194, AG81)</f>
        <v>0</v>
      </c>
      <c r="AJ81" s="93"/>
      <c r="AK81" s="14" t="s">
        <v>11</v>
      </c>
      <c r="AL81" s="13" cm="1">
        <f t="array" ref="AL81">CountByColor(U92:AC103, AK81)</f>
        <v>0</v>
      </c>
    </row>
    <row r="82" spans="1:38">
      <c r="A82" s="157"/>
      <c r="B82" s="54">
        <v>1903</v>
      </c>
      <c r="C82" s="51">
        <v>51</v>
      </c>
      <c r="D82" s="51">
        <v>52</v>
      </c>
      <c r="E82" s="51">
        <v>53</v>
      </c>
      <c r="F82" s="51">
        <v>54</v>
      </c>
      <c r="G82" s="155"/>
      <c r="H82" s="155"/>
      <c r="I82" s="155"/>
      <c r="J82" s="155"/>
      <c r="K82" s="155"/>
      <c r="L82" s="154"/>
      <c r="O82" s="6"/>
      <c r="AF82" s="93"/>
      <c r="AG82" s="15" t="s">
        <v>12</v>
      </c>
      <c r="AH82" s="13" cm="1">
        <f t="array" ref="AH82">CountByColor(U92:AC194, AG82)</f>
        <v>0</v>
      </c>
      <c r="AJ82" s="93"/>
      <c r="AK82" s="15" t="s">
        <v>12</v>
      </c>
      <c r="AL82" s="13" cm="1">
        <f t="array" ref="AL82">CountByColor(U92:AC103, AK82)</f>
        <v>0</v>
      </c>
    </row>
    <row r="83" spans="1:38">
      <c r="A83" s="157"/>
      <c r="B83" s="54">
        <v>1904</v>
      </c>
      <c r="C83" s="51">
        <v>55</v>
      </c>
      <c r="D83" s="51">
        <v>56</v>
      </c>
      <c r="E83" s="51">
        <v>57</v>
      </c>
      <c r="F83" s="51">
        <v>58</v>
      </c>
      <c r="G83" s="155"/>
      <c r="H83" s="155"/>
      <c r="I83" s="155"/>
      <c r="J83" s="155"/>
      <c r="K83" s="155"/>
      <c r="L83" s="154"/>
      <c r="O83" s="6"/>
      <c r="AF83" s="94"/>
      <c r="AG83" s="16" t="s">
        <v>13</v>
      </c>
      <c r="AH83" s="13" cm="1">
        <f t="array" ref="AH83">CountByColor(U92:AC194, AG83)</f>
        <v>0</v>
      </c>
      <c r="AJ83" s="94"/>
      <c r="AK83" s="16" t="s">
        <v>13</v>
      </c>
      <c r="AL83" s="13" cm="1">
        <f t="array" ref="AL83">CountByColor(U92:AC103, AK83)</f>
        <v>0</v>
      </c>
    </row>
    <row r="84" spans="1:38">
      <c r="A84" s="157">
        <v>20</v>
      </c>
      <c r="B84" s="54">
        <v>2001</v>
      </c>
      <c r="C84" s="51">
        <v>1</v>
      </c>
      <c r="D84" s="51">
        <v>2</v>
      </c>
      <c r="E84" s="51">
        <v>3</v>
      </c>
      <c r="F84" s="51">
        <v>4</v>
      </c>
      <c r="G84" s="51">
        <v>17</v>
      </c>
      <c r="H84" s="51">
        <v>18</v>
      </c>
      <c r="I84" s="51">
        <v>19</v>
      </c>
      <c r="J84" s="51">
        <v>20</v>
      </c>
      <c r="K84" s="51">
        <v>21</v>
      </c>
      <c r="L84" s="154" t="s">
        <v>21</v>
      </c>
      <c r="O84" s="6"/>
      <c r="AF84" s="21"/>
      <c r="AK84" s="1"/>
      <c r="AL84" s="1"/>
    </row>
    <row r="85" spans="1:38">
      <c r="A85" s="157"/>
      <c r="B85" s="54">
        <v>2002</v>
      </c>
      <c r="C85" s="51">
        <v>5</v>
      </c>
      <c r="D85" s="51">
        <v>6</v>
      </c>
      <c r="E85" s="51">
        <v>7</v>
      </c>
      <c r="F85" s="51">
        <v>8</v>
      </c>
      <c r="G85" s="155"/>
      <c r="H85" s="155"/>
      <c r="I85" s="155"/>
      <c r="J85" s="155"/>
      <c r="K85" s="155"/>
      <c r="L85" s="154"/>
      <c r="O85" s="6"/>
      <c r="AJ85" s="92" t="s">
        <v>14</v>
      </c>
      <c r="AK85" s="12" t="s">
        <v>10</v>
      </c>
      <c r="AL85" s="13">
        <f>SUM(AL86:AL88)</f>
        <v>0</v>
      </c>
    </row>
    <row r="86" spans="1:38">
      <c r="A86" s="157"/>
      <c r="B86" s="54">
        <v>2003</v>
      </c>
      <c r="C86" s="51">
        <v>9</v>
      </c>
      <c r="D86" s="51">
        <v>10</v>
      </c>
      <c r="E86" s="51">
        <v>11</v>
      </c>
      <c r="F86" s="51">
        <v>12</v>
      </c>
      <c r="G86" s="155"/>
      <c r="H86" s="155"/>
      <c r="I86" s="155"/>
      <c r="J86" s="155"/>
      <c r="K86" s="155"/>
      <c r="L86" s="154"/>
      <c r="AJ86" s="93"/>
      <c r="AK86" s="14" t="s">
        <v>11</v>
      </c>
      <c r="AL86" s="13" cm="1">
        <f t="array" ref="AL86">CountByColor(U104:AC115, AK86)</f>
        <v>0</v>
      </c>
    </row>
    <row r="87" spans="1:38">
      <c r="A87" s="157"/>
      <c r="B87" s="54">
        <v>2004</v>
      </c>
      <c r="C87" s="51">
        <v>13</v>
      </c>
      <c r="D87" s="51">
        <v>14</v>
      </c>
      <c r="E87" s="51">
        <v>15</v>
      </c>
      <c r="F87" s="51">
        <v>16</v>
      </c>
      <c r="G87" s="155"/>
      <c r="H87" s="155"/>
      <c r="I87" s="155"/>
      <c r="J87" s="155"/>
      <c r="K87" s="155"/>
      <c r="L87" s="154"/>
      <c r="AJ87" s="93"/>
      <c r="AK87" s="15" t="s">
        <v>12</v>
      </c>
      <c r="AL87" s="13" cm="1">
        <f t="array" ref="AL87">CountByColor(U104:AC115, AK87)</f>
        <v>0</v>
      </c>
    </row>
    <row r="88" spans="1:38">
      <c r="A88" s="157">
        <v>21</v>
      </c>
      <c r="B88" s="54">
        <v>2101</v>
      </c>
      <c r="C88" s="51">
        <v>22</v>
      </c>
      <c r="D88" s="51">
        <v>23</v>
      </c>
      <c r="E88" s="51">
        <v>24</v>
      </c>
      <c r="F88" s="51">
        <v>25</v>
      </c>
      <c r="G88" s="51">
        <v>38</v>
      </c>
      <c r="H88" s="51">
        <v>39</v>
      </c>
      <c r="I88" s="51">
        <v>40</v>
      </c>
      <c r="J88" s="51">
        <v>41</v>
      </c>
      <c r="K88" s="51">
        <v>42</v>
      </c>
      <c r="L88" s="154"/>
      <c r="N88" s="6"/>
      <c r="AJ88" s="94"/>
      <c r="AK88" s="16" t="s">
        <v>13</v>
      </c>
      <c r="AL88" s="13" cm="1">
        <f t="array" ref="AL88">CountByColor(U104:AC115, AK88)</f>
        <v>0</v>
      </c>
    </row>
    <row r="89" spans="1:38">
      <c r="A89" s="157"/>
      <c r="B89" s="54">
        <v>2102</v>
      </c>
      <c r="C89" s="51">
        <v>26</v>
      </c>
      <c r="D89" s="51">
        <v>27</v>
      </c>
      <c r="E89" s="51">
        <v>28</v>
      </c>
      <c r="F89" s="51">
        <v>29</v>
      </c>
      <c r="G89" s="155"/>
      <c r="H89" s="155"/>
      <c r="I89" s="155"/>
      <c r="J89" s="155"/>
      <c r="K89" s="155"/>
      <c r="L89" s="154"/>
      <c r="N89" s="6"/>
      <c r="AJ89" s="1"/>
    </row>
    <row r="90" spans="1:38">
      <c r="A90" s="157"/>
      <c r="B90" s="54">
        <v>2103</v>
      </c>
      <c r="C90" s="51">
        <v>30</v>
      </c>
      <c r="D90" s="51">
        <v>31</v>
      </c>
      <c r="E90" s="51">
        <v>32</v>
      </c>
      <c r="F90" s="51">
        <v>33</v>
      </c>
      <c r="G90" s="155"/>
      <c r="H90" s="155"/>
      <c r="I90" s="155"/>
      <c r="J90" s="155"/>
      <c r="K90" s="155"/>
      <c r="L90" s="154"/>
      <c r="N90" s="6"/>
      <c r="AJ90" s="92" t="s">
        <v>15</v>
      </c>
      <c r="AK90" s="12" t="s">
        <v>10</v>
      </c>
      <c r="AL90" s="13">
        <f>SUM(AL91:AL93)</f>
        <v>0</v>
      </c>
    </row>
    <row r="91" spans="1:38">
      <c r="A91" s="157"/>
      <c r="B91" s="54">
        <v>2104</v>
      </c>
      <c r="C91" s="51">
        <v>34</v>
      </c>
      <c r="D91" s="51">
        <v>35</v>
      </c>
      <c r="E91" s="51">
        <v>36</v>
      </c>
      <c r="F91" s="51">
        <v>37</v>
      </c>
      <c r="G91" s="155"/>
      <c r="H91" s="155"/>
      <c r="I91" s="155"/>
      <c r="J91" s="155"/>
      <c r="K91" s="155"/>
      <c r="L91" s="154"/>
      <c r="N91" s="6"/>
      <c r="AJ91" s="93"/>
      <c r="AK91" s="14" t="s">
        <v>11</v>
      </c>
      <c r="AL91" s="13" cm="1">
        <f t="array" ref="AL91">CountByColor(U116:AC127, AK91)</f>
        <v>0</v>
      </c>
    </row>
    <row r="92" spans="1:38">
      <c r="A92" s="157">
        <v>22</v>
      </c>
      <c r="B92" s="54">
        <v>2201</v>
      </c>
      <c r="C92" s="51">
        <v>43</v>
      </c>
      <c r="D92" s="51">
        <v>44</v>
      </c>
      <c r="E92" s="51">
        <v>45</v>
      </c>
      <c r="F92" s="51">
        <v>46</v>
      </c>
      <c r="G92" s="51">
        <v>59</v>
      </c>
      <c r="H92" s="51">
        <v>60</v>
      </c>
      <c r="I92" s="51">
        <v>61</v>
      </c>
      <c r="J92" s="51">
        <v>62</v>
      </c>
      <c r="K92" s="51">
        <v>63</v>
      </c>
      <c r="L92" s="154"/>
      <c r="N92" s="6"/>
      <c r="AJ92" s="93"/>
      <c r="AK92" s="15" t="s">
        <v>12</v>
      </c>
      <c r="AL92" s="13" cm="1">
        <f t="array" ref="AL92">CountByColor(U116:AC127, AK92)</f>
        <v>0</v>
      </c>
    </row>
    <row r="93" spans="1:38">
      <c r="A93" s="157"/>
      <c r="B93" s="54">
        <v>2202</v>
      </c>
      <c r="C93" s="51">
        <v>47</v>
      </c>
      <c r="D93" s="51">
        <v>48</v>
      </c>
      <c r="E93" s="51">
        <v>49</v>
      </c>
      <c r="F93" s="51">
        <v>50</v>
      </c>
      <c r="G93" s="155"/>
      <c r="H93" s="155"/>
      <c r="I93" s="155"/>
      <c r="J93" s="155"/>
      <c r="K93" s="155"/>
      <c r="L93" s="154"/>
      <c r="N93" s="6"/>
      <c r="AJ93" s="94"/>
      <c r="AK93" s="16" t="s">
        <v>13</v>
      </c>
      <c r="AL93" s="13" cm="1">
        <f t="array" ref="AL93">CountByColor(U116:AC127, AK93)</f>
        <v>0</v>
      </c>
    </row>
    <row r="94" spans="1:38">
      <c r="A94" s="157"/>
      <c r="B94" s="54">
        <v>2203</v>
      </c>
      <c r="C94" s="51">
        <v>51</v>
      </c>
      <c r="D94" s="51">
        <v>52</v>
      </c>
      <c r="E94" s="51">
        <v>53</v>
      </c>
      <c r="F94" s="51">
        <v>54</v>
      </c>
      <c r="G94" s="155"/>
      <c r="H94" s="155"/>
      <c r="I94" s="155"/>
      <c r="J94" s="155"/>
      <c r="K94" s="155"/>
      <c r="L94" s="154"/>
      <c r="N94" s="6"/>
    </row>
    <row r="95" spans="1:38">
      <c r="A95" s="157"/>
      <c r="B95" s="54">
        <v>2204</v>
      </c>
      <c r="C95" s="51">
        <v>55</v>
      </c>
      <c r="D95" s="51">
        <v>56</v>
      </c>
      <c r="E95" s="51">
        <v>57</v>
      </c>
      <c r="F95" s="51">
        <v>58</v>
      </c>
      <c r="G95" s="155"/>
      <c r="H95" s="155"/>
      <c r="I95" s="155"/>
      <c r="J95" s="155"/>
      <c r="K95" s="155"/>
      <c r="L95" s="154"/>
      <c r="N95" s="6"/>
    </row>
    <row r="96" spans="1:38">
      <c r="A96" s="157">
        <v>23</v>
      </c>
      <c r="B96" s="54">
        <v>2301</v>
      </c>
      <c r="C96" s="60">
        <v>1</v>
      </c>
      <c r="D96" s="51">
        <v>2</v>
      </c>
      <c r="E96" s="51">
        <v>3</v>
      </c>
      <c r="F96" s="51">
        <v>4</v>
      </c>
      <c r="G96" s="51">
        <v>17</v>
      </c>
      <c r="H96" s="51">
        <v>18</v>
      </c>
      <c r="I96" s="51">
        <v>19</v>
      </c>
      <c r="J96" s="51">
        <v>20</v>
      </c>
      <c r="K96" s="51">
        <v>21</v>
      </c>
      <c r="L96" s="162" t="s">
        <v>22</v>
      </c>
      <c r="N96" s="6"/>
    </row>
    <row r="97" spans="1:15">
      <c r="A97" s="157"/>
      <c r="B97" s="54">
        <v>2302</v>
      </c>
      <c r="C97" s="51">
        <v>5</v>
      </c>
      <c r="D97" s="51">
        <v>6</v>
      </c>
      <c r="E97" s="51">
        <v>7</v>
      </c>
      <c r="F97" s="51">
        <v>8</v>
      </c>
      <c r="G97" s="155"/>
      <c r="H97" s="155"/>
      <c r="I97" s="155"/>
      <c r="J97" s="155"/>
      <c r="K97" s="155"/>
      <c r="L97" s="163"/>
      <c r="N97" s="6"/>
    </row>
    <row r="98" spans="1:15">
      <c r="A98" s="157"/>
      <c r="B98" s="54">
        <v>2303</v>
      </c>
      <c r="C98" s="51">
        <v>9</v>
      </c>
      <c r="D98" s="51">
        <v>10</v>
      </c>
      <c r="E98" s="60">
        <v>11</v>
      </c>
      <c r="F98" s="51">
        <v>12</v>
      </c>
      <c r="G98" s="155"/>
      <c r="H98" s="155"/>
      <c r="I98" s="155"/>
      <c r="J98" s="155"/>
      <c r="K98" s="155"/>
      <c r="L98" s="163"/>
      <c r="N98" s="6"/>
      <c r="O98" s="6"/>
    </row>
    <row r="99" spans="1:15">
      <c r="A99" s="157"/>
      <c r="B99" s="54">
        <v>2304</v>
      </c>
      <c r="C99" s="51">
        <v>13</v>
      </c>
      <c r="D99" s="51">
        <v>14</v>
      </c>
      <c r="E99" s="51">
        <v>15</v>
      </c>
      <c r="F99" s="51">
        <v>16</v>
      </c>
      <c r="G99" s="155"/>
      <c r="H99" s="155"/>
      <c r="I99" s="155"/>
      <c r="J99" s="155"/>
      <c r="K99" s="155"/>
      <c r="L99" s="163"/>
      <c r="N99" s="6"/>
      <c r="O99" s="6"/>
    </row>
    <row r="100" spans="1:15">
      <c r="A100" s="157">
        <v>24</v>
      </c>
      <c r="B100" s="54">
        <v>2401</v>
      </c>
      <c r="C100" s="51">
        <v>22</v>
      </c>
      <c r="D100" s="51">
        <v>23</v>
      </c>
      <c r="E100" s="51">
        <v>24</v>
      </c>
      <c r="F100" s="51">
        <v>25</v>
      </c>
      <c r="G100" s="51">
        <v>38</v>
      </c>
      <c r="H100" s="51">
        <v>39</v>
      </c>
      <c r="I100" s="51">
        <v>40</v>
      </c>
      <c r="J100" s="51">
        <v>41</v>
      </c>
      <c r="K100" s="51">
        <v>42</v>
      </c>
      <c r="L100" s="163"/>
      <c r="O100" s="6"/>
    </row>
    <row r="101" spans="1:15">
      <c r="A101" s="157"/>
      <c r="B101" s="54">
        <v>2402</v>
      </c>
      <c r="C101" s="51">
        <v>26</v>
      </c>
      <c r="D101" s="51">
        <v>27</v>
      </c>
      <c r="E101" s="51">
        <v>28</v>
      </c>
      <c r="F101" s="51">
        <v>29</v>
      </c>
      <c r="G101" s="155"/>
      <c r="H101" s="155"/>
      <c r="I101" s="155"/>
      <c r="J101" s="155"/>
      <c r="K101" s="155"/>
      <c r="L101" s="163"/>
      <c r="O101" s="6"/>
    </row>
    <row r="102" spans="1:15">
      <c r="A102" s="157"/>
      <c r="B102" s="54">
        <v>2403</v>
      </c>
      <c r="C102" s="51">
        <v>30</v>
      </c>
      <c r="D102" s="51">
        <v>31</v>
      </c>
      <c r="E102" s="51">
        <v>32</v>
      </c>
      <c r="F102" s="51">
        <v>33</v>
      </c>
      <c r="G102" s="155"/>
      <c r="H102" s="155"/>
      <c r="I102" s="155"/>
      <c r="J102" s="155"/>
      <c r="K102" s="155"/>
      <c r="L102" s="163"/>
      <c r="O102" s="6"/>
    </row>
    <row r="103" spans="1:15">
      <c r="A103" s="157"/>
      <c r="B103" s="54">
        <v>2404</v>
      </c>
      <c r="C103" s="60">
        <v>34</v>
      </c>
      <c r="D103" s="51">
        <v>35</v>
      </c>
      <c r="E103" s="51">
        <v>36</v>
      </c>
      <c r="F103" s="51">
        <v>37</v>
      </c>
      <c r="G103" s="155"/>
      <c r="H103" s="155"/>
      <c r="I103" s="155"/>
      <c r="J103" s="155"/>
      <c r="K103" s="155"/>
      <c r="L103" s="163"/>
      <c r="O103" s="6"/>
    </row>
    <row r="104" spans="1:15">
      <c r="A104" s="157">
        <v>25</v>
      </c>
      <c r="B104" s="54">
        <v>2501</v>
      </c>
      <c r="C104" s="60">
        <v>43</v>
      </c>
      <c r="D104" s="51">
        <v>44</v>
      </c>
      <c r="E104" s="51">
        <v>45</v>
      </c>
      <c r="F104" s="51">
        <v>46</v>
      </c>
      <c r="G104" s="51">
        <v>59</v>
      </c>
      <c r="H104" s="51">
        <v>60</v>
      </c>
      <c r="I104" s="51">
        <v>61</v>
      </c>
      <c r="J104" s="51">
        <v>62</v>
      </c>
      <c r="K104" s="51">
        <v>63</v>
      </c>
      <c r="L104" s="163"/>
      <c r="O104" s="6"/>
    </row>
    <row r="105" spans="1:15">
      <c r="A105" s="157"/>
      <c r="B105" s="54">
        <v>2502</v>
      </c>
      <c r="C105" s="51">
        <v>47</v>
      </c>
      <c r="D105" s="51">
        <v>48</v>
      </c>
      <c r="E105" s="51">
        <v>49</v>
      </c>
      <c r="F105" s="51">
        <v>50</v>
      </c>
      <c r="G105" s="155"/>
      <c r="H105" s="155"/>
      <c r="I105" s="155"/>
      <c r="J105" s="155"/>
      <c r="K105" s="155"/>
      <c r="L105" s="163"/>
      <c r="O105" s="6"/>
    </row>
    <row r="106" spans="1:15">
      <c r="A106" s="157"/>
      <c r="B106" s="54">
        <v>2503</v>
      </c>
      <c r="C106" s="51">
        <v>51</v>
      </c>
      <c r="D106" s="51">
        <v>52</v>
      </c>
      <c r="E106" s="51">
        <v>53</v>
      </c>
      <c r="F106" s="53">
        <v>54</v>
      </c>
      <c r="G106" s="155"/>
      <c r="H106" s="155"/>
      <c r="I106" s="155"/>
      <c r="J106" s="155"/>
      <c r="K106" s="155"/>
      <c r="L106" s="163"/>
      <c r="O106" s="6"/>
    </row>
    <row r="107" spans="1:15">
      <c r="A107" s="160"/>
      <c r="B107" s="55">
        <v>2504</v>
      </c>
      <c r="C107" s="59">
        <v>55</v>
      </c>
      <c r="D107" s="56">
        <v>56</v>
      </c>
      <c r="E107" s="56">
        <v>57</v>
      </c>
      <c r="F107" s="56">
        <v>58</v>
      </c>
      <c r="G107" s="161"/>
      <c r="H107" s="161"/>
      <c r="I107" s="161"/>
      <c r="J107" s="161"/>
      <c r="K107" s="161"/>
      <c r="L107" s="163"/>
    </row>
    <row r="108" spans="1:15">
      <c r="A108" s="57">
        <v>26</v>
      </c>
      <c r="B108" s="57" t="s">
        <v>25</v>
      </c>
      <c r="C108" s="58">
        <v>64</v>
      </c>
      <c r="D108" s="58">
        <v>65</v>
      </c>
      <c r="E108" s="58">
        <v>66</v>
      </c>
      <c r="F108" s="58">
        <v>67</v>
      </c>
      <c r="G108" s="58">
        <v>68</v>
      </c>
      <c r="H108" s="165"/>
      <c r="I108" s="166"/>
      <c r="J108" s="166"/>
      <c r="K108" s="167"/>
      <c r="L108" s="164"/>
    </row>
  </sheetData>
  <mergeCells count="86">
    <mergeCell ref="L96:L108"/>
    <mergeCell ref="H108:K108"/>
    <mergeCell ref="AJ90:AJ93"/>
    <mergeCell ref="A4:A7"/>
    <mergeCell ref="B4:B7"/>
    <mergeCell ref="G5:K7"/>
    <mergeCell ref="A8:A11"/>
    <mergeCell ref="G9:K11"/>
    <mergeCell ref="A12:A15"/>
    <mergeCell ref="AF80:AF83"/>
    <mergeCell ref="AJ80:AJ83"/>
    <mergeCell ref="AJ85:AJ88"/>
    <mergeCell ref="A92:A95"/>
    <mergeCell ref="A88:A91"/>
    <mergeCell ref="G89:K91"/>
    <mergeCell ref="A76:A79"/>
    <mergeCell ref="A72:A75"/>
    <mergeCell ref="G73:K75"/>
    <mergeCell ref="G77:K79"/>
    <mergeCell ref="A80:A83"/>
    <mergeCell ref="A104:A107"/>
    <mergeCell ref="G93:K95"/>
    <mergeCell ref="A96:A99"/>
    <mergeCell ref="G97:K99"/>
    <mergeCell ref="A100:A103"/>
    <mergeCell ref="G101:K103"/>
    <mergeCell ref="A84:A87"/>
    <mergeCell ref="G85:K87"/>
    <mergeCell ref="G105:K107"/>
    <mergeCell ref="A60:A63"/>
    <mergeCell ref="G61:K63"/>
    <mergeCell ref="A64:A67"/>
    <mergeCell ref="G65:K67"/>
    <mergeCell ref="A68:A71"/>
    <mergeCell ref="G69:K71"/>
    <mergeCell ref="A48:A51"/>
    <mergeCell ref="G49:K51"/>
    <mergeCell ref="A52:A55"/>
    <mergeCell ref="G53:K55"/>
    <mergeCell ref="A56:A59"/>
    <mergeCell ref="G57:K59"/>
    <mergeCell ref="A36:A39"/>
    <mergeCell ref="G37:K39"/>
    <mergeCell ref="A40:A43"/>
    <mergeCell ref="G41:K43"/>
    <mergeCell ref="A44:A47"/>
    <mergeCell ref="G45:K47"/>
    <mergeCell ref="A24:A27"/>
    <mergeCell ref="A28:A31"/>
    <mergeCell ref="G29:K31"/>
    <mergeCell ref="A32:A35"/>
    <mergeCell ref="G33:K35"/>
    <mergeCell ref="S4:S7"/>
    <mergeCell ref="S9:S12"/>
    <mergeCell ref="L36:L47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  <mergeCell ref="A16:A19"/>
    <mergeCell ref="G17:K19"/>
    <mergeCell ref="A20:A23"/>
    <mergeCell ref="O3:P3"/>
    <mergeCell ref="G13:K15"/>
    <mergeCell ref="L20:L35"/>
    <mergeCell ref="G81:K83"/>
    <mergeCell ref="L48:L59"/>
    <mergeCell ref="L60:L71"/>
    <mergeCell ref="L72:L83"/>
    <mergeCell ref="L4:L19"/>
    <mergeCell ref="N4:N7"/>
    <mergeCell ref="G21:K23"/>
    <mergeCell ref="G25:K27"/>
    <mergeCell ref="L84:L95"/>
    <mergeCell ref="S14:S17"/>
    <mergeCell ref="S19:S22"/>
    <mergeCell ref="S24:S27"/>
    <mergeCell ref="S29:S32"/>
    <mergeCell ref="S34:S37"/>
    <mergeCell ref="S39:S42"/>
  </mergeCells>
  <conditionalFormatting sqref="C32:K32 C33:G33 C34:F35">
    <cfRule type="cellIs" dxfId="163" priority="61" operator="equal">
      <formula>"Улаан"</formula>
    </cfRule>
  </conditionalFormatting>
  <conditionalFormatting sqref="F34">
    <cfRule type="cellIs" dxfId="162" priority="57" operator="equal">
      <formula>"Ногоон"</formula>
    </cfRule>
    <cfRule type="cellIs" dxfId="161" priority="58" operator="equal">
      <formula>"Улаан"</formula>
    </cfRule>
  </conditionalFormatting>
  <conditionalFormatting sqref="C4:K4 C5:G5 C6:F7">
    <cfRule type="cellIs" dxfId="160" priority="40" operator="equal">
      <formula>"Улаан"</formula>
    </cfRule>
  </conditionalFormatting>
  <conditionalFormatting sqref="F14">
    <cfRule type="cellIs" dxfId="159" priority="38" operator="equal">
      <formula>"Ногоон"</formula>
    </cfRule>
    <cfRule type="cellIs" dxfId="158" priority="39" operator="equal">
      <formula>"Улаан"</formula>
    </cfRule>
  </conditionalFormatting>
  <conditionalFormatting sqref="C8:K8 C12:K12 C9:G9 C10:F11 C16:K16 C13:G13 C14:F15 C17:G17 C18:F19">
    <cfRule type="cellIs" dxfId="157" priority="37" operator="equal">
      <formula>"Улаан"</formula>
    </cfRule>
  </conditionalFormatting>
  <conditionalFormatting sqref="F26">
    <cfRule type="cellIs" dxfId="156" priority="35" operator="equal">
      <formula>"Ногоон"</formula>
    </cfRule>
    <cfRule type="cellIs" dxfId="155" priority="36" operator="equal">
      <formula>"Улаан"</formula>
    </cfRule>
  </conditionalFormatting>
  <conditionalFormatting sqref="C20:K20 C24:K24 C21:G21 C22:F23 C28:K28 C25:G25 C26:F27 C29:G29 C30:F31">
    <cfRule type="cellIs" dxfId="154" priority="34" operator="equal">
      <formula>"Улаан"</formula>
    </cfRule>
  </conditionalFormatting>
  <conditionalFormatting sqref="F42">
    <cfRule type="cellIs" dxfId="153" priority="32" operator="equal">
      <formula>"Ногоон"</formula>
    </cfRule>
    <cfRule type="cellIs" dxfId="152" priority="33" operator="equal">
      <formula>"Улаан"</formula>
    </cfRule>
  </conditionalFormatting>
  <conditionalFormatting sqref="C36:K36 C40:K40 C37:G37 C38:F39 C44:K44 C41:G41 C42:F43 C45:G45 C46:F47">
    <cfRule type="cellIs" dxfId="151" priority="31" operator="equal">
      <formula>"Улаан"</formula>
    </cfRule>
  </conditionalFormatting>
  <conditionalFormatting sqref="F54">
    <cfRule type="cellIs" dxfId="150" priority="14" operator="equal">
      <formula>"Ногоон"</formula>
    </cfRule>
    <cfRule type="cellIs" dxfId="149" priority="15" operator="equal">
      <formula>"Улаан"</formula>
    </cfRule>
  </conditionalFormatting>
  <conditionalFormatting sqref="C48:K48 C52:K52 C49:G49 C50:F51 C56:K56 C53:G53 C54:F55 C57:G57 C58:F59">
    <cfRule type="cellIs" dxfId="148" priority="13" operator="equal">
      <formula>"Улаан"</formula>
    </cfRule>
  </conditionalFormatting>
  <conditionalFormatting sqref="F66">
    <cfRule type="cellIs" dxfId="147" priority="11" operator="equal">
      <formula>"Ногоон"</formula>
    </cfRule>
    <cfRule type="cellIs" dxfId="146" priority="12" operator="equal">
      <formula>"Улаан"</formula>
    </cfRule>
  </conditionalFormatting>
  <conditionalFormatting sqref="C60:K60 C64:K64 C61:G61 C62:F63 C68:K68 C65:G65 C66:F67 C69:G69 C70:F71">
    <cfRule type="cellIs" dxfId="145" priority="10" operator="equal">
      <formula>"Улаан"</formula>
    </cfRule>
  </conditionalFormatting>
  <conditionalFormatting sqref="F78">
    <cfRule type="cellIs" dxfId="144" priority="8" operator="equal">
      <formula>"Ногоон"</formula>
    </cfRule>
    <cfRule type="cellIs" dxfId="143" priority="9" operator="equal">
      <formula>"Улаан"</formula>
    </cfRule>
  </conditionalFormatting>
  <conditionalFormatting sqref="C72:K72 C76:K76 C73:G73 C74:F75 C80:K80 C77:G77 C78:F79 C81:G81 C82:F83">
    <cfRule type="cellIs" dxfId="142" priority="7" operator="equal">
      <formula>"Улаан"</formula>
    </cfRule>
  </conditionalFormatting>
  <conditionalFormatting sqref="F90">
    <cfRule type="cellIs" dxfId="141" priority="5" operator="equal">
      <formula>"Ногоон"</formula>
    </cfRule>
    <cfRule type="cellIs" dxfId="140" priority="6" operator="equal">
      <formula>"Улаан"</formula>
    </cfRule>
  </conditionalFormatting>
  <conditionalFormatting sqref="C84:K84 C88:K88 C85:G85 C86:F87 C92:K92 C89:G89 C90:F91 C93:G93 C94:F95">
    <cfRule type="cellIs" dxfId="139" priority="4" operator="equal">
      <formula>"Улаан"</formula>
    </cfRule>
  </conditionalFormatting>
  <conditionalFormatting sqref="F102">
    <cfRule type="cellIs" dxfId="138" priority="2" operator="equal">
      <formula>"Ногоон"</formula>
    </cfRule>
    <cfRule type="cellIs" dxfId="137" priority="3" operator="equal">
      <formula>"Улаан"</formula>
    </cfRule>
  </conditionalFormatting>
  <conditionalFormatting sqref="C96:K96 C100:K100 C97:G97 C98:F99 C104:K104 C101:G101 C102:F103 C105:G105 C106:F107">
    <cfRule type="cellIs" dxfId="136" priority="1" operator="equal">
      <formula>"Улаан"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756E1-EC4A-4B86-B090-B549E125FC93}">
  <dimension ref="A1:V156"/>
  <sheetViews>
    <sheetView topLeftCell="K1" zoomScaleNormal="100" workbookViewId="0">
      <selection activeCell="N8" sqref="N8"/>
    </sheetView>
  </sheetViews>
  <sheetFormatPr defaultRowHeight="15"/>
  <cols>
    <col min="14" max="14" width="9.7109375" bestFit="1" customWidth="1"/>
    <col min="15" max="15" width="14.5703125" bestFit="1" customWidth="1"/>
    <col min="20" max="20" width="14.5703125" bestFit="1" customWidth="1"/>
  </cols>
  <sheetData>
    <row r="1" spans="1:22">
      <c r="A1" s="77">
        <v>216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</row>
    <row r="2" spans="1:22">
      <c r="A2" s="80" t="s">
        <v>1</v>
      </c>
      <c r="B2" s="81" t="s">
        <v>2</v>
      </c>
      <c r="C2" s="82" t="s">
        <v>3</v>
      </c>
      <c r="D2" s="83"/>
      <c r="E2" s="84"/>
      <c r="F2" s="88" t="s">
        <v>4</v>
      </c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</row>
    <row r="3" spans="1:22">
      <c r="A3" s="80"/>
      <c r="B3" s="81"/>
      <c r="C3" s="85"/>
      <c r="D3" s="86"/>
      <c r="E3" s="87"/>
      <c r="F3" s="88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</row>
    <row r="4" spans="1:22">
      <c r="A4" s="80">
        <v>1</v>
      </c>
      <c r="B4" s="8">
        <f>(INT((ROW()-4)/6)+1)*100 + MOD(ROW()-4,6)+1</f>
        <v>101</v>
      </c>
      <c r="C4" s="9">
        <v>2</v>
      </c>
      <c r="D4" s="9">
        <v>3</v>
      </c>
      <c r="E4" s="9">
        <v>4</v>
      </c>
      <c r="F4" s="9">
        <v>1</v>
      </c>
      <c r="G4" s="9">
        <v>20</v>
      </c>
      <c r="H4" s="9">
        <v>21</v>
      </c>
      <c r="I4" s="9">
        <v>22</v>
      </c>
      <c r="J4" s="9">
        <v>23</v>
      </c>
      <c r="K4" s="9">
        <v>24</v>
      </c>
      <c r="L4" s="100" t="s">
        <v>9</v>
      </c>
      <c r="N4" s="92">
        <v>46000</v>
      </c>
      <c r="O4" s="12" t="s">
        <v>10</v>
      </c>
      <c r="P4" s="13">
        <f>SUM(P5:P7)</f>
        <v>609</v>
      </c>
      <c r="Q4" s="73">
        <v>1</v>
      </c>
      <c r="S4" s="92" t="s">
        <v>9</v>
      </c>
      <c r="T4" s="12" t="s">
        <v>10</v>
      </c>
      <c r="U4" s="13">
        <f>SUM(U5:U7)</f>
        <v>96</v>
      </c>
      <c r="V4" s="73">
        <v>1</v>
      </c>
    </row>
    <row r="5" spans="1:22">
      <c r="A5" s="80"/>
      <c r="B5" s="8">
        <f t="shared" ref="B5:B68" si="0">(INT((ROW()-4)/6)+1)*100 + MOD(ROW()-4,6)+1</f>
        <v>102</v>
      </c>
      <c r="C5" s="9">
        <v>5</v>
      </c>
      <c r="D5" s="9">
        <v>6</v>
      </c>
      <c r="E5" s="9">
        <v>7</v>
      </c>
      <c r="F5" s="81"/>
      <c r="G5" s="81"/>
      <c r="H5" s="81"/>
      <c r="I5" s="81"/>
      <c r="J5" s="81"/>
      <c r="K5" s="81"/>
      <c r="L5" s="101"/>
      <c r="N5" s="93"/>
      <c r="O5" s="14" t="s">
        <v>11</v>
      </c>
      <c r="P5" s="13" cm="1">
        <f t="array" ref="P5">CountByColor(C4:K156, O5)</f>
        <v>38</v>
      </c>
      <c r="Q5" s="74">
        <v>6.2399999999999997E-2</v>
      </c>
      <c r="S5" s="93"/>
      <c r="T5" s="14" t="s">
        <v>11</v>
      </c>
      <c r="U5" s="13" cm="1">
        <f t="array" ref="U5">CountByColor(C4:K27, T5)</f>
        <v>4</v>
      </c>
      <c r="V5" s="74">
        <v>4.1700000000000001E-2</v>
      </c>
    </row>
    <row r="6" spans="1:22">
      <c r="A6" s="80"/>
      <c r="B6" s="8">
        <f t="shared" si="0"/>
        <v>103</v>
      </c>
      <c r="C6" s="9">
        <v>8</v>
      </c>
      <c r="D6" s="9">
        <v>9</v>
      </c>
      <c r="E6" s="9">
        <v>10</v>
      </c>
      <c r="F6" s="81"/>
      <c r="G6" s="81"/>
      <c r="H6" s="81"/>
      <c r="I6" s="81"/>
      <c r="J6" s="81"/>
      <c r="K6" s="81"/>
      <c r="L6" s="101"/>
      <c r="N6" s="93"/>
      <c r="O6" s="15" t="s">
        <v>12</v>
      </c>
      <c r="P6" s="13" cm="1">
        <f t="array" ref="P6">CountByColor(C4:K156, O6)</f>
        <v>25</v>
      </c>
      <c r="Q6" s="74">
        <v>4.1099999999999998E-2</v>
      </c>
      <c r="S6" s="93"/>
      <c r="T6" s="15" t="s">
        <v>12</v>
      </c>
      <c r="U6" s="13" cm="1">
        <f t="array" ref="U6">CountByColor(C4:K27, T6)</f>
        <v>0</v>
      </c>
      <c r="V6" s="73">
        <v>0</v>
      </c>
    </row>
    <row r="7" spans="1:22">
      <c r="A7" s="80"/>
      <c r="B7" s="8">
        <f t="shared" si="0"/>
        <v>104</v>
      </c>
      <c r="C7" s="9">
        <v>11</v>
      </c>
      <c r="D7" s="9">
        <v>12</v>
      </c>
      <c r="E7" s="9">
        <v>13</v>
      </c>
      <c r="F7" s="81"/>
      <c r="G7" s="81"/>
      <c r="H7" s="81"/>
      <c r="I7" s="81"/>
      <c r="J7" s="81"/>
      <c r="K7" s="81"/>
      <c r="L7" s="101"/>
      <c r="N7" s="94"/>
      <c r="O7" s="16" t="s">
        <v>13</v>
      </c>
      <c r="P7" s="13" cm="1">
        <f t="array" ref="P7">CountByColor(C4:K156, O7)</f>
        <v>546</v>
      </c>
      <c r="Q7" s="74">
        <v>0.89649999999999996</v>
      </c>
      <c r="S7" s="94"/>
      <c r="T7" s="16" t="s">
        <v>13</v>
      </c>
      <c r="U7" s="13" cm="1">
        <f t="array" ref="U7">CountByColor(C4:K27, T7)</f>
        <v>92</v>
      </c>
      <c r="V7" s="74">
        <v>0.95830000000000004</v>
      </c>
    </row>
    <row r="8" spans="1:22">
      <c r="A8" s="80"/>
      <c r="B8" s="8">
        <f t="shared" si="0"/>
        <v>105</v>
      </c>
      <c r="C8" s="9">
        <v>14</v>
      </c>
      <c r="D8" s="9">
        <v>15</v>
      </c>
      <c r="E8" s="9">
        <v>16</v>
      </c>
      <c r="F8" s="81"/>
      <c r="G8" s="81"/>
      <c r="H8" s="81"/>
      <c r="I8" s="81"/>
      <c r="J8" s="81"/>
      <c r="K8" s="81"/>
      <c r="L8" s="101"/>
      <c r="N8" s="21"/>
      <c r="T8" s="1"/>
      <c r="U8" s="1"/>
    </row>
    <row r="9" spans="1:22">
      <c r="A9" s="80"/>
      <c r="B9" s="8">
        <f t="shared" si="0"/>
        <v>106</v>
      </c>
      <c r="C9" s="9">
        <v>17</v>
      </c>
      <c r="D9" s="9">
        <v>18</v>
      </c>
      <c r="E9" s="9">
        <v>19</v>
      </c>
      <c r="F9" s="81"/>
      <c r="G9" s="81"/>
      <c r="H9" s="81"/>
      <c r="I9" s="81"/>
      <c r="J9" s="81"/>
      <c r="K9" s="81"/>
      <c r="L9" s="101"/>
      <c r="S9" s="92" t="s">
        <v>14</v>
      </c>
      <c r="T9" s="12" t="s">
        <v>10</v>
      </c>
      <c r="U9" s="13">
        <f>SUM(U10:U12)</f>
        <v>72</v>
      </c>
      <c r="V9" s="73">
        <v>1</v>
      </c>
    </row>
    <row r="10" spans="1:22">
      <c r="A10" s="80">
        <v>2</v>
      </c>
      <c r="B10" s="8">
        <f t="shared" si="0"/>
        <v>201</v>
      </c>
      <c r="C10" s="9">
        <v>26</v>
      </c>
      <c r="D10" s="9">
        <v>27</v>
      </c>
      <c r="E10" s="9">
        <v>28</v>
      </c>
      <c r="F10" s="9">
        <v>25</v>
      </c>
      <c r="G10" s="9">
        <v>44</v>
      </c>
      <c r="H10" s="9">
        <v>45</v>
      </c>
      <c r="I10" s="9">
        <v>46</v>
      </c>
      <c r="J10" s="9">
        <v>47</v>
      </c>
      <c r="K10" s="9">
        <v>48</v>
      </c>
      <c r="L10" s="101"/>
      <c r="S10" s="93"/>
      <c r="T10" s="14" t="s">
        <v>11</v>
      </c>
      <c r="U10" s="13" cm="1">
        <f t="array" ref="U10">CountByColor(C28:K45, T10)</f>
        <v>2</v>
      </c>
      <c r="V10" s="74">
        <v>2.7799999999999998E-2</v>
      </c>
    </row>
    <row r="11" spans="1:22">
      <c r="A11" s="80"/>
      <c r="B11" s="8">
        <f t="shared" si="0"/>
        <v>202</v>
      </c>
      <c r="C11" s="9">
        <v>29</v>
      </c>
      <c r="D11" s="9">
        <v>30</v>
      </c>
      <c r="E11" s="9">
        <v>31</v>
      </c>
      <c r="F11" s="81"/>
      <c r="G11" s="81"/>
      <c r="H11" s="81"/>
      <c r="I11" s="81"/>
      <c r="J11" s="81"/>
      <c r="K11" s="81"/>
      <c r="L11" s="101"/>
      <c r="S11" s="93"/>
      <c r="T11" s="15" t="s">
        <v>12</v>
      </c>
      <c r="U11" s="13" cm="1">
        <f t="array" ref="U11">CountByColor(C28:K45, T11)</f>
        <v>3</v>
      </c>
      <c r="V11" s="74">
        <v>4.1700000000000001E-2</v>
      </c>
    </row>
    <row r="12" spans="1:22">
      <c r="A12" s="80"/>
      <c r="B12" s="8">
        <f t="shared" si="0"/>
        <v>203</v>
      </c>
      <c r="C12" s="9">
        <v>32</v>
      </c>
      <c r="D12" s="9">
        <v>33</v>
      </c>
      <c r="E12" s="9">
        <v>34</v>
      </c>
      <c r="F12" s="81"/>
      <c r="G12" s="81"/>
      <c r="H12" s="81"/>
      <c r="I12" s="81"/>
      <c r="J12" s="81"/>
      <c r="K12" s="81"/>
      <c r="L12" s="101"/>
      <c r="S12" s="94"/>
      <c r="T12" s="16" t="s">
        <v>13</v>
      </c>
      <c r="U12" s="13" cm="1">
        <f t="array" ref="U12">CountByColor(C28:K45, T12)</f>
        <v>67</v>
      </c>
      <c r="V12" s="74">
        <v>0.93059999999999998</v>
      </c>
    </row>
    <row r="13" spans="1:22">
      <c r="A13" s="80"/>
      <c r="B13" s="8">
        <f t="shared" si="0"/>
        <v>204</v>
      </c>
      <c r="C13" s="9">
        <v>35</v>
      </c>
      <c r="D13" s="9">
        <v>36</v>
      </c>
      <c r="E13" s="9">
        <v>37</v>
      </c>
      <c r="F13" s="81"/>
      <c r="G13" s="81"/>
      <c r="H13" s="81"/>
      <c r="I13" s="81"/>
      <c r="J13" s="81"/>
      <c r="K13" s="81"/>
      <c r="L13" s="101"/>
      <c r="N13" s="33"/>
      <c r="S13" s="1"/>
    </row>
    <row r="14" spans="1:22">
      <c r="A14" s="80"/>
      <c r="B14" s="8">
        <f t="shared" si="0"/>
        <v>205</v>
      </c>
      <c r="C14" s="9">
        <v>38</v>
      </c>
      <c r="D14" s="11">
        <v>39</v>
      </c>
      <c r="E14" s="9">
        <v>40</v>
      </c>
      <c r="F14" s="81"/>
      <c r="G14" s="81"/>
      <c r="H14" s="81"/>
      <c r="I14" s="81"/>
      <c r="J14" s="81"/>
      <c r="K14" s="81"/>
      <c r="L14" s="101"/>
      <c r="S14" s="92" t="s">
        <v>15</v>
      </c>
      <c r="T14" s="12" t="s">
        <v>10</v>
      </c>
      <c r="U14" s="13">
        <f>SUM(U15:U17)</f>
        <v>72</v>
      </c>
      <c r="V14" s="73">
        <v>1</v>
      </c>
    </row>
    <row r="15" spans="1:22">
      <c r="A15" s="80"/>
      <c r="B15" s="8">
        <f t="shared" si="0"/>
        <v>206</v>
      </c>
      <c r="C15" s="9">
        <v>41</v>
      </c>
      <c r="D15" s="9">
        <v>42</v>
      </c>
      <c r="E15" s="9">
        <v>43</v>
      </c>
      <c r="F15" s="81"/>
      <c r="G15" s="81"/>
      <c r="H15" s="81"/>
      <c r="I15" s="81"/>
      <c r="J15" s="81"/>
      <c r="K15" s="81"/>
      <c r="L15" s="101"/>
      <c r="S15" s="93"/>
      <c r="T15" s="14" t="s">
        <v>11</v>
      </c>
      <c r="U15" s="13" cm="1">
        <f t="array" ref="U15">CountByColor(C46:K63, T15)</f>
        <v>6</v>
      </c>
      <c r="V15" s="74">
        <v>8.3299999999999999E-2</v>
      </c>
    </row>
    <row r="16" spans="1:22">
      <c r="A16" s="80">
        <v>3</v>
      </c>
      <c r="B16" s="8">
        <f t="shared" si="0"/>
        <v>301</v>
      </c>
      <c r="C16" s="9">
        <v>50</v>
      </c>
      <c r="D16" s="9">
        <v>51</v>
      </c>
      <c r="E16" s="9">
        <v>52</v>
      </c>
      <c r="F16" s="9">
        <v>49</v>
      </c>
      <c r="G16" s="9">
        <v>68</v>
      </c>
      <c r="H16" s="9">
        <v>69</v>
      </c>
      <c r="I16" s="9">
        <v>70</v>
      </c>
      <c r="J16" s="9">
        <v>71</v>
      </c>
      <c r="K16" s="9">
        <v>72</v>
      </c>
      <c r="L16" s="101"/>
      <c r="S16" s="93"/>
      <c r="T16" s="15" t="s">
        <v>12</v>
      </c>
      <c r="U16" s="13" cm="1">
        <f t="array" ref="U16">CountByColor(C46:K63, T16)</f>
        <v>1</v>
      </c>
      <c r="V16" s="74">
        <v>1.3899999999999999E-2</v>
      </c>
    </row>
    <row r="17" spans="1:22">
      <c r="A17" s="80"/>
      <c r="B17" s="8">
        <f t="shared" si="0"/>
        <v>302</v>
      </c>
      <c r="C17" s="9">
        <v>53</v>
      </c>
      <c r="D17" s="9">
        <v>54</v>
      </c>
      <c r="E17" s="9">
        <v>55</v>
      </c>
      <c r="F17" s="168"/>
      <c r="G17" s="168"/>
      <c r="H17" s="168"/>
      <c r="I17" s="168"/>
      <c r="J17" s="168"/>
      <c r="K17" s="168"/>
      <c r="L17" s="101"/>
      <c r="S17" s="94"/>
      <c r="T17" s="16" t="s">
        <v>13</v>
      </c>
      <c r="U17" s="13" cm="1">
        <f t="array" ref="U17">CountByColor(C46:K63, T17)</f>
        <v>65</v>
      </c>
      <c r="V17" s="74">
        <v>0.90280000000000005</v>
      </c>
    </row>
    <row r="18" spans="1:22">
      <c r="A18" s="80"/>
      <c r="B18" s="8">
        <f t="shared" si="0"/>
        <v>303</v>
      </c>
      <c r="C18" s="9">
        <v>56</v>
      </c>
      <c r="D18" s="9">
        <v>57</v>
      </c>
      <c r="E18" s="9">
        <v>58</v>
      </c>
      <c r="F18" s="168"/>
      <c r="G18" s="168"/>
      <c r="H18" s="168"/>
      <c r="I18" s="168"/>
      <c r="J18" s="168"/>
      <c r="K18" s="168"/>
      <c r="L18" s="101"/>
      <c r="S18" s="1"/>
    </row>
    <row r="19" spans="1:22">
      <c r="A19" s="80"/>
      <c r="B19" s="8">
        <f t="shared" si="0"/>
        <v>304</v>
      </c>
      <c r="C19" s="9">
        <v>59</v>
      </c>
      <c r="D19" s="9">
        <v>60</v>
      </c>
      <c r="E19" s="11">
        <v>61</v>
      </c>
      <c r="F19" s="168"/>
      <c r="G19" s="168"/>
      <c r="H19" s="168"/>
      <c r="I19" s="168"/>
      <c r="J19" s="168"/>
      <c r="K19" s="168"/>
      <c r="L19" s="101"/>
      <c r="S19" s="92" t="s">
        <v>16</v>
      </c>
      <c r="T19" s="12" t="s">
        <v>10</v>
      </c>
      <c r="U19" s="13">
        <f>SUM(U20:U22)</f>
        <v>72</v>
      </c>
      <c r="V19" s="73">
        <v>1</v>
      </c>
    </row>
    <row r="20" spans="1:22">
      <c r="A20" s="80"/>
      <c r="B20" s="8">
        <f t="shared" si="0"/>
        <v>305</v>
      </c>
      <c r="C20" s="9">
        <v>62</v>
      </c>
      <c r="D20" s="9">
        <v>63</v>
      </c>
      <c r="E20" s="9">
        <v>64</v>
      </c>
      <c r="F20" s="168"/>
      <c r="G20" s="168"/>
      <c r="H20" s="168"/>
      <c r="I20" s="168"/>
      <c r="J20" s="168"/>
      <c r="K20" s="168"/>
      <c r="L20" s="101"/>
      <c r="S20" s="93"/>
      <c r="T20" s="14" t="s">
        <v>11</v>
      </c>
      <c r="U20" s="13" cm="1">
        <f t="array" ref="U20">CountByColor(C64:K81, T20)</f>
        <v>9</v>
      </c>
      <c r="V20" s="74">
        <v>0.125</v>
      </c>
    </row>
    <row r="21" spans="1:22">
      <c r="A21" s="80"/>
      <c r="B21" s="8">
        <f t="shared" si="0"/>
        <v>306</v>
      </c>
      <c r="C21" s="9">
        <v>65</v>
      </c>
      <c r="D21" s="9">
        <v>66</v>
      </c>
      <c r="E21" s="9">
        <v>67</v>
      </c>
      <c r="F21" s="168"/>
      <c r="G21" s="168"/>
      <c r="H21" s="168"/>
      <c r="I21" s="168"/>
      <c r="J21" s="168"/>
      <c r="K21" s="168"/>
      <c r="L21" s="101"/>
      <c r="R21" s="1"/>
      <c r="S21" s="93"/>
      <c r="T21" s="15" t="s">
        <v>12</v>
      </c>
      <c r="U21" s="13" cm="1">
        <f t="array" ref="U21">CountByColor(C64:K81, T21)</f>
        <v>9</v>
      </c>
      <c r="V21" s="74">
        <v>0.125</v>
      </c>
    </row>
    <row r="22" spans="1:22">
      <c r="A22" s="80">
        <v>4</v>
      </c>
      <c r="B22" s="8">
        <f t="shared" si="0"/>
        <v>401</v>
      </c>
      <c r="C22" s="9">
        <v>74</v>
      </c>
      <c r="D22" s="9">
        <v>75</v>
      </c>
      <c r="E22" s="9">
        <v>76</v>
      </c>
      <c r="F22" s="49">
        <v>73</v>
      </c>
      <c r="G22" s="49">
        <v>92</v>
      </c>
      <c r="H22" s="49">
        <v>93</v>
      </c>
      <c r="I22" s="49">
        <v>94</v>
      </c>
      <c r="J22" s="49">
        <v>95</v>
      </c>
      <c r="K22" s="49">
        <v>96</v>
      </c>
      <c r="L22" s="101"/>
      <c r="S22" s="94"/>
      <c r="T22" s="16" t="s">
        <v>13</v>
      </c>
      <c r="U22" s="13" cm="1">
        <f t="array" ref="U22">CountByColor(C64:K81, T22)</f>
        <v>54</v>
      </c>
      <c r="V22" s="74">
        <v>0.75</v>
      </c>
    </row>
    <row r="23" spans="1:22">
      <c r="A23" s="80"/>
      <c r="B23" s="8">
        <f t="shared" si="0"/>
        <v>402</v>
      </c>
      <c r="C23" s="9">
        <v>77</v>
      </c>
      <c r="D23" s="9">
        <v>78</v>
      </c>
      <c r="E23" s="9">
        <v>79</v>
      </c>
      <c r="F23" s="169"/>
      <c r="G23" s="170"/>
      <c r="H23" s="170"/>
      <c r="I23" s="170"/>
      <c r="J23" s="170"/>
      <c r="K23" s="171"/>
      <c r="L23" s="101"/>
      <c r="S23" s="1"/>
    </row>
    <row r="24" spans="1:22">
      <c r="A24" s="80"/>
      <c r="B24" s="8">
        <f t="shared" si="0"/>
        <v>403</v>
      </c>
      <c r="C24" s="11">
        <v>80</v>
      </c>
      <c r="D24" s="9">
        <v>81</v>
      </c>
      <c r="E24" s="9">
        <v>82</v>
      </c>
      <c r="F24" s="172"/>
      <c r="G24" s="173"/>
      <c r="H24" s="173"/>
      <c r="I24" s="173"/>
      <c r="J24" s="173"/>
      <c r="K24" s="174"/>
      <c r="L24" s="101"/>
      <c r="S24" s="92" t="s">
        <v>19</v>
      </c>
      <c r="T24" s="12" t="s">
        <v>10</v>
      </c>
      <c r="U24" s="13">
        <f>SUM(U25:U27)</f>
        <v>72</v>
      </c>
      <c r="V24" s="73">
        <v>1</v>
      </c>
    </row>
    <row r="25" spans="1:22">
      <c r="A25" s="80"/>
      <c r="B25" s="8">
        <f t="shared" si="0"/>
        <v>404</v>
      </c>
      <c r="C25" s="9">
        <v>83</v>
      </c>
      <c r="D25" s="9">
        <v>84</v>
      </c>
      <c r="E25" s="9">
        <v>85</v>
      </c>
      <c r="F25" s="172"/>
      <c r="G25" s="173"/>
      <c r="H25" s="173"/>
      <c r="I25" s="173"/>
      <c r="J25" s="173"/>
      <c r="K25" s="174"/>
      <c r="L25" s="101"/>
      <c r="S25" s="93"/>
      <c r="T25" s="14" t="s">
        <v>11</v>
      </c>
      <c r="U25" s="13" cm="1">
        <f t="array" ref="U25">CountByColor(C82:K99, T25)</f>
        <v>3</v>
      </c>
      <c r="V25" s="74">
        <v>4.1700000000000001E-2</v>
      </c>
    </row>
    <row r="26" spans="1:22">
      <c r="A26" s="80"/>
      <c r="B26" s="8">
        <f t="shared" si="0"/>
        <v>405</v>
      </c>
      <c r="C26" s="9">
        <v>86</v>
      </c>
      <c r="D26" s="11">
        <v>87</v>
      </c>
      <c r="E26" s="9">
        <v>88</v>
      </c>
      <c r="F26" s="172"/>
      <c r="G26" s="173"/>
      <c r="H26" s="173"/>
      <c r="I26" s="173"/>
      <c r="J26" s="173"/>
      <c r="K26" s="174"/>
      <c r="L26" s="101"/>
      <c r="S26" s="93"/>
      <c r="T26" s="15" t="s">
        <v>12</v>
      </c>
      <c r="U26" s="13" cm="1">
        <f t="array" ref="U26">CountByColor(C82:K99, T26)</f>
        <v>4</v>
      </c>
      <c r="V26" s="74">
        <v>5.5599999999999997E-2</v>
      </c>
    </row>
    <row r="27" spans="1:22">
      <c r="A27" s="80"/>
      <c r="B27" s="8">
        <f t="shared" si="0"/>
        <v>406</v>
      </c>
      <c r="C27" s="9">
        <v>89</v>
      </c>
      <c r="D27" s="9">
        <v>90</v>
      </c>
      <c r="E27" s="9">
        <v>91</v>
      </c>
      <c r="F27" s="175"/>
      <c r="G27" s="176"/>
      <c r="H27" s="176"/>
      <c r="I27" s="176"/>
      <c r="J27" s="176"/>
      <c r="K27" s="177"/>
      <c r="L27" s="102"/>
      <c r="S27" s="94"/>
      <c r="T27" s="16" t="s">
        <v>13</v>
      </c>
      <c r="U27" s="13" cm="1">
        <f t="array" ref="U27">CountByColor(C82:K99, T27)</f>
        <v>65</v>
      </c>
      <c r="V27" s="74">
        <v>0.90280000000000005</v>
      </c>
    </row>
    <row r="28" spans="1:22">
      <c r="A28" s="80">
        <v>5</v>
      </c>
      <c r="B28" s="8">
        <f t="shared" si="0"/>
        <v>501</v>
      </c>
      <c r="C28" s="9">
        <v>2</v>
      </c>
      <c r="D28" s="9">
        <v>3</v>
      </c>
      <c r="E28" s="9">
        <v>4</v>
      </c>
      <c r="F28" s="9">
        <v>1</v>
      </c>
      <c r="G28" s="9">
        <v>20</v>
      </c>
      <c r="H28" s="9">
        <v>21</v>
      </c>
      <c r="I28" s="9">
        <v>22</v>
      </c>
      <c r="J28" s="9">
        <v>23</v>
      </c>
      <c r="K28" s="9">
        <v>24</v>
      </c>
      <c r="L28" s="100" t="s">
        <v>14</v>
      </c>
      <c r="S28" s="1"/>
    </row>
    <row r="29" spans="1:22">
      <c r="A29" s="80"/>
      <c r="B29" s="8">
        <f t="shared" si="0"/>
        <v>502</v>
      </c>
      <c r="C29" s="9">
        <v>5</v>
      </c>
      <c r="D29" s="9">
        <v>6</v>
      </c>
      <c r="E29" s="9">
        <v>7</v>
      </c>
      <c r="F29" s="81"/>
      <c r="G29" s="81"/>
      <c r="H29" s="81"/>
      <c r="I29" s="81"/>
      <c r="J29" s="81"/>
      <c r="K29" s="81"/>
      <c r="L29" s="101"/>
      <c r="S29" s="92" t="s">
        <v>20</v>
      </c>
      <c r="T29" s="12" t="s">
        <v>10</v>
      </c>
      <c r="U29" s="13">
        <f>SUM(U30:U32)</f>
        <v>72</v>
      </c>
      <c r="V29" s="73">
        <v>1</v>
      </c>
    </row>
    <row r="30" spans="1:22">
      <c r="A30" s="80"/>
      <c r="B30" s="8">
        <f t="shared" si="0"/>
        <v>503</v>
      </c>
      <c r="C30" s="9">
        <v>8</v>
      </c>
      <c r="D30" s="9">
        <v>9</v>
      </c>
      <c r="E30" s="9">
        <v>10</v>
      </c>
      <c r="F30" s="81"/>
      <c r="G30" s="81"/>
      <c r="H30" s="81"/>
      <c r="I30" s="81"/>
      <c r="J30" s="81"/>
      <c r="K30" s="81"/>
      <c r="L30" s="101"/>
      <c r="S30" s="93"/>
      <c r="T30" s="14" t="s">
        <v>11</v>
      </c>
      <c r="U30" s="13" cm="1">
        <f t="array" ref="U30">CountByColor(C100:K117, T30)</f>
        <v>10</v>
      </c>
      <c r="V30" s="74">
        <v>0.1389</v>
      </c>
    </row>
    <row r="31" spans="1:22">
      <c r="A31" s="80"/>
      <c r="B31" s="8">
        <f t="shared" si="0"/>
        <v>504</v>
      </c>
      <c r="C31" s="10">
        <v>11</v>
      </c>
      <c r="D31" s="9">
        <v>12</v>
      </c>
      <c r="E31" s="9">
        <v>13</v>
      </c>
      <c r="F31" s="81"/>
      <c r="G31" s="81"/>
      <c r="H31" s="81"/>
      <c r="I31" s="81"/>
      <c r="J31" s="81"/>
      <c r="K31" s="81"/>
      <c r="L31" s="101"/>
      <c r="O31" s="6"/>
      <c r="S31" s="93"/>
      <c r="T31" s="15" t="s">
        <v>12</v>
      </c>
      <c r="U31" s="13" cm="1">
        <f t="array" ref="U31">CountByColor(C100:K117, T31)</f>
        <v>1</v>
      </c>
      <c r="V31" s="74">
        <v>1.3899999999999999E-2</v>
      </c>
    </row>
    <row r="32" spans="1:22">
      <c r="A32" s="80"/>
      <c r="B32" s="8">
        <f t="shared" si="0"/>
        <v>505</v>
      </c>
      <c r="C32" s="9">
        <v>14</v>
      </c>
      <c r="D32" s="9">
        <v>15</v>
      </c>
      <c r="E32" s="9">
        <v>16</v>
      </c>
      <c r="F32" s="81"/>
      <c r="G32" s="81"/>
      <c r="H32" s="81"/>
      <c r="I32" s="81"/>
      <c r="J32" s="81"/>
      <c r="K32" s="81"/>
      <c r="L32" s="101"/>
      <c r="O32" s="6"/>
      <c r="S32" s="94"/>
      <c r="T32" s="16" t="s">
        <v>13</v>
      </c>
      <c r="U32" s="13" cm="1">
        <f t="array" ref="U32">CountByColor(C100:K117, T32)</f>
        <v>61</v>
      </c>
      <c r="V32" s="74">
        <v>0.84719999999999995</v>
      </c>
    </row>
    <row r="33" spans="1:22">
      <c r="A33" s="80"/>
      <c r="B33" s="8">
        <f t="shared" si="0"/>
        <v>506</v>
      </c>
      <c r="C33" s="9">
        <v>17</v>
      </c>
      <c r="D33" s="9">
        <v>18</v>
      </c>
      <c r="E33" s="9">
        <v>19</v>
      </c>
      <c r="F33" s="81"/>
      <c r="G33" s="81"/>
      <c r="H33" s="81"/>
      <c r="I33" s="81"/>
      <c r="J33" s="81"/>
      <c r="K33" s="81"/>
      <c r="L33" s="101"/>
      <c r="O33" s="6"/>
      <c r="S33" s="1"/>
    </row>
    <row r="34" spans="1:22">
      <c r="A34" s="80">
        <v>6</v>
      </c>
      <c r="B34" s="8">
        <f t="shared" si="0"/>
        <v>601</v>
      </c>
      <c r="C34" s="9">
        <v>26</v>
      </c>
      <c r="D34" s="9">
        <v>27</v>
      </c>
      <c r="E34" s="10">
        <v>28</v>
      </c>
      <c r="F34" s="9">
        <v>25</v>
      </c>
      <c r="G34" s="9">
        <v>44</v>
      </c>
      <c r="H34" s="9">
        <v>45</v>
      </c>
      <c r="I34" s="9">
        <v>46</v>
      </c>
      <c r="J34" s="9">
        <v>47</v>
      </c>
      <c r="K34" s="9">
        <v>48</v>
      </c>
      <c r="L34" s="101"/>
      <c r="O34" s="6"/>
      <c r="S34" s="92" t="s">
        <v>21</v>
      </c>
      <c r="T34" s="12" t="s">
        <v>10</v>
      </c>
      <c r="U34" s="13">
        <f>SUM(U35:U37)</f>
        <v>72</v>
      </c>
      <c r="V34" s="73">
        <v>1</v>
      </c>
    </row>
    <row r="35" spans="1:22">
      <c r="A35" s="80"/>
      <c r="B35" s="8">
        <f t="shared" si="0"/>
        <v>602</v>
      </c>
      <c r="C35" s="9">
        <v>29</v>
      </c>
      <c r="D35" s="9">
        <v>30</v>
      </c>
      <c r="E35" s="9">
        <v>31</v>
      </c>
      <c r="F35" s="81"/>
      <c r="G35" s="81"/>
      <c r="H35" s="81"/>
      <c r="I35" s="81"/>
      <c r="J35" s="81"/>
      <c r="K35" s="81"/>
      <c r="L35" s="101"/>
      <c r="O35" s="6"/>
      <c r="S35" s="93"/>
      <c r="T35" s="14" t="s">
        <v>11</v>
      </c>
      <c r="U35" s="13" cm="1">
        <f t="array" ref="U35">CountByColor(C118:K135, T35)</f>
        <v>1</v>
      </c>
      <c r="V35" s="74">
        <v>1.3899999999999999E-2</v>
      </c>
    </row>
    <row r="36" spans="1:22">
      <c r="A36" s="80"/>
      <c r="B36" s="8">
        <f t="shared" si="0"/>
        <v>603</v>
      </c>
      <c r="C36" s="9">
        <v>32</v>
      </c>
      <c r="D36" s="9">
        <v>33</v>
      </c>
      <c r="E36" s="9">
        <v>34</v>
      </c>
      <c r="F36" s="81"/>
      <c r="G36" s="81"/>
      <c r="H36" s="81"/>
      <c r="I36" s="81"/>
      <c r="J36" s="81"/>
      <c r="K36" s="81"/>
      <c r="L36" s="101"/>
      <c r="N36" s="1"/>
      <c r="O36" s="6"/>
      <c r="S36" s="93"/>
      <c r="T36" s="15" t="s">
        <v>12</v>
      </c>
      <c r="U36" s="13" cm="1">
        <f t="array" ref="U36">CountByColor(C118:K135, T36)</f>
        <v>4</v>
      </c>
      <c r="V36" s="74">
        <v>5.5599999999999997E-2</v>
      </c>
    </row>
    <row r="37" spans="1:22">
      <c r="A37" s="80"/>
      <c r="B37" s="8">
        <f t="shared" si="0"/>
        <v>604</v>
      </c>
      <c r="C37" s="9">
        <v>35</v>
      </c>
      <c r="D37" s="9">
        <v>36</v>
      </c>
      <c r="E37" s="9">
        <v>37</v>
      </c>
      <c r="F37" s="81"/>
      <c r="G37" s="81"/>
      <c r="H37" s="81"/>
      <c r="I37" s="81"/>
      <c r="J37" s="81"/>
      <c r="K37" s="81"/>
      <c r="L37" s="101"/>
      <c r="N37" s="1"/>
      <c r="O37" s="6"/>
      <c r="S37" s="94"/>
      <c r="T37" s="16" t="s">
        <v>13</v>
      </c>
      <c r="U37" s="13" cm="1">
        <f t="array" ref="U37">CountByColor(C118:K135, T37)</f>
        <v>67</v>
      </c>
      <c r="V37" s="74">
        <v>0.93059999999999998</v>
      </c>
    </row>
    <row r="38" spans="1:22">
      <c r="A38" s="80"/>
      <c r="B38" s="8">
        <f t="shared" si="0"/>
        <v>605</v>
      </c>
      <c r="C38" s="9">
        <v>38</v>
      </c>
      <c r="D38" s="9">
        <v>39</v>
      </c>
      <c r="E38" s="9">
        <v>40</v>
      </c>
      <c r="F38" s="81"/>
      <c r="G38" s="81"/>
      <c r="H38" s="81"/>
      <c r="I38" s="81"/>
      <c r="J38" s="81"/>
      <c r="K38" s="81"/>
      <c r="L38" s="101"/>
      <c r="N38" s="1"/>
      <c r="S38" s="1"/>
    </row>
    <row r="39" spans="1:22">
      <c r="A39" s="80"/>
      <c r="B39" s="8">
        <f t="shared" si="0"/>
        <v>606</v>
      </c>
      <c r="C39" s="9">
        <v>41</v>
      </c>
      <c r="D39" s="9">
        <v>42</v>
      </c>
      <c r="E39" s="9">
        <v>43</v>
      </c>
      <c r="F39" s="81"/>
      <c r="G39" s="81"/>
      <c r="H39" s="81"/>
      <c r="I39" s="81"/>
      <c r="J39" s="81"/>
      <c r="K39" s="81"/>
      <c r="L39" s="101"/>
      <c r="N39" s="17"/>
      <c r="S39" s="92" t="s">
        <v>22</v>
      </c>
      <c r="T39" s="12" t="s">
        <v>10</v>
      </c>
      <c r="U39" s="13">
        <f>SUM(U40:U42)</f>
        <v>81</v>
      </c>
      <c r="V39" s="73">
        <v>1</v>
      </c>
    </row>
    <row r="40" spans="1:22">
      <c r="A40" s="80">
        <v>7</v>
      </c>
      <c r="B40" s="8">
        <f t="shared" si="0"/>
        <v>701</v>
      </c>
      <c r="C40" s="9">
        <v>50</v>
      </c>
      <c r="D40" s="9">
        <v>51</v>
      </c>
      <c r="E40" s="9">
        <v>52</v>
      </c>
      <c r="F40" s="9">
        <v>49</v>
      </c>
      <c r="G40" s="9">
        <v>68</v>
      </c>
      <c r="H40" s="9">
        <v>69</v>
      </c>
      <c r="I40" s="9">
        <v>70</v>
      </c>
      <c r="J40" s="9">
        <v>71</v>
      </c>
      <c r="K40" s="9">
        <v>72</v>
      </c>
      <c r="L40" s="101"/>
      <c r="M40" s="1"/>
      <c r="N40" s="6"/>
      <c r="R40" s="1"/>
      <c r="S40" s="93"/>
      <c r="T40" s="14" t="s">
        <v>11</v>
      </c>
      <c r="U40" s="13" cm="1">
        <f t="array" ref="U40">CountByColor(C136:L156, T40)</f>
        <v>3</v>
      </c>
      <c r="V40" s="74">
        <v>3.6999999999999998E-2</v>
      </c>
    </row>
    <row r="41" spans="1:22">
      <c r="A41" s="80"/>
      <c r="B41" s="8">
        <f t="shared" si="0"/>
        <v>702</v>
      </c>
      <c r="C41" s="9">
        <v>53</v>
      </c>
      <c r="D41" s="10">
        <v>54</v>
      </c>
      <c r="E41" s="9">
        <v>55</v>
      </c>
      <c r="F41" s="168"/>
      <c r="G41" s="168"/>
      <c r="H41" s="168"/>
      <c r="I41" s="168"/>
      <c r="J41" s="168"/>
      <c r="K41" s="168"/>
      <c r="L41" s="101"/>
      <c r="M41" s="1"/>
      <c r="N41" s="6"/>
      <c r="R41" s="1"/>
      <c r="S41" s="93"/>
      <c r="T41" s="15" t="s">
        <v>12</v>
      </c>
      <c r="U41" s="13" cm="1">
        <f t="array" ref="U41">CountByColor(C136:K156, T41)</f>
        <v>3</v>
      </c>
      <c r="V41" s="74">
        <v>3.6999999999999998E-2</v>
      </c>
    </row>
    <row r="42" spans="1:22">
      <c r="A42" s="80"/>
      <c r="B42" s="8">
        <f t="shared" si="0"/>
        <v>703</v>
      </c>
      <c r="C42" s="11">
        <v>56</v>
      </c>
      <c r="D42" s="11">
        <v>57</v>
      </c>
      <c r="E42" s="9">
        <v>58</v>
      </c>
      <c r="F42" s="168"/>
      <c r="G42" s="168"/>
      <c r="H42" s="168"/>
      <c r="I42" s="168"/>
      <c r="J42" s="168"/>
      <c r="K42" s="168"/>
      <c r="L42" s="101"/>
      <c r="M42" s="1"/>
      <c r="N42" s="6"/>
      <c r="R42" s="1"/>
      <c r="S42" s="94"/>
      <c r="T42" s="16" t="s">
        <v>13</v>
      </c>
      <c r="U42" s="13" cm="1">
        <f t="array" ref="U42">CountByColor(C136:K156, T42)</f>
        <v>75</v>
      </c>
      <c r="V42" s="74">
        <v>0.92589999999999995</v>
      </c>
    </row>
    <row r="43" spans="1:22">
      <c r="A43" s="80"/>
      <c r="B43" s="8">
        <f t="shared" si="0"/>
        <v>704</v>
      </c>
      <c r="C43" s="9">
        <v>59</v>
      </c>
      <c r="D43" s="9">
        <v>60</v>
      </c>
      <c r="E43" s="9">
        <v>61</v>
      </c>
      <c r="F43" s="168"/>
      <c r="G43" s="168"/>
      <c r="H43" s="168"/>
      <c r="I43" s="168"/>
      <c r="J43" s="168"/>
      <c r="K43" s="168"/>
      <c r="L43" s="101"/>
      <c r="M43" s="1"/>
      <c r="N43" s="6"/>
      <c r="R43" s="1"/>
    </row>
    <row r="44" spans="1:22">
      <c r="A44" s="80"/>
      <c r="B44" s="8">
        <f t="shared" si="0"/>
        <v>705</v>
      </c>
      <c r="C44" s="9">
        <v>62</v>
      </c>
      <c r="D44" s="9">
        <v>63</v>
      </c>
      <c r="E44" s="9">
        <v>64</v>
      </c>
      <c r="F44" s="168"/>
      <c r="G44" s="168"/>
      <c r="H44" s="168"/>
      <c r="I44" s="168"/>
      <c r="J44" s="168"/>
      <c r="K44" s="168"/>
      <c r="L44" s="101"/>
      <c r="M44" s="1"/>
      <c r="N44" s="6"/>
      <c r="R44" s="1"/>
    </row>
    <row r="45" spans="1:22">
      <c r="A45" s="80"/>
      <c r="B45" s="8">
        <f t="shared" si="0"/>
        <v>706</v>
      </c>
      <c r="C45" s="9">
        <v>65</v>
      </c>
      <c r="D45" s="9">
        <v>66</v>
      </c>
      <c r="E45" s="9">
        <v>67</v>
      </c>
      <c r="F45" s="168"/>
      <c r="G45" s="168"/>
      <c r="H45" s="168"/>
      <c r="I45" s="168"/>
      <c r="J45" s="168"/>
      <c r="K45" s="168"/>
      <c r="L45" s="102"/>
      <c r="M45" s="1"/>
      <c r="N45" s="6"/>
      <c r="R45" s="1"/>
    </row>
    <row r="46" spans="1:22">
      <c r="A46" s="80">
        <v>8</v>
      </c>
      <c r="B46" s="8">
        <f t="shared" si="0"/>
        <v>801</v>
      </c>
      <c r="C46" s="9">
        <v>2</v>
      </c>
      <c r="D46" s="11">
        <v>3</v>
      </c>
      <c r="E46" s="9">
        <v>4</v>
      </c>
      <c r="F46" s="9">
        <v>1</v>
      </c>
      <c r="G46" s="9">
        <v>20</v>
      </c>
      <c r="H46" s="9">
        <v>21</v>
      </c>
      <c r="I46" s="9">
        <v>22</v>
      </c>
      <c r="J46" s="9">
        <v>23</v>
      </c>
      <c r="K46" s="9">
        <v>24</v>
      </c>
      <c r="L46" s="91" t="s">
        <v>15</v>
      </c>
      <c r="M46" s="1"/>
      <c r="N46" s="6"/>
      <c r="R46" s="1"/>
    </row>
    <row r="47" spans="1:22">
      <c r="A47" s="80"/>
      <c r="B47" s="8">
        <f t="shared" si="0"/>
        <v>802</v>
      </c>
      <c r="C47" s="9">
        <v>5</v>
      </c>
      <c r="D47" s="9">
        <v>6</v>
      </c>
      <c r="E47" s="9">
        <v>7</v>
      </c>
      <c r="F47" s="81"/>
      <c r="G47" s="81"/>
      <c r="H47" s="81"/>
      <c r="I47" s="81"/>
      <c r="J47" s="81"/>
      <c r="K47" s="81"/>
      <c r="L47" s="91"/>
      <c r="M47" s="1"/>
      <c r="N47" s="6"/>
      <c r="R47" s="1"/>
    </row>
    <row r="48" spans="1:22">
      <c r="A48" s="80"/>
      <c r="B48" s="8">
        <f t="shared" si="0"/>
        <v>803</v>
      </c>
      <c r="C48" s="9">
        <v>8</v>
      </c>
      <c r="D48" s="9">
        <v>9</v>
      </c>
      <c r="E48" s="9">
        <v>10</v>
      </c>
      <c r="F48" s="81"/>
      <c r="G48" s="81"/>
      <c r="H48" s="81"/>
      <c r="I48" s="81"/>
      <c r="J48" s="81"/>
      <c r="K48" s="81"/>
      <c r="L48" s="91"/>
      <c r="M48" s="1"/>
      <c r="N48" s="6"/>
      <c r="O48" s="6"/>
      <c r="R48" s="1"/>
    </row>
    <row r="49" spans="1:18">
      <c r="A49" s="80"/>
      <c r="B49" s="8">
        <f t="shared" si="0"/>
        <v>804</v>
      </c>
      <c r="C49" s="9">
        <v>11</v>
      </c>
      <c r="D49" s="11">
        <v>12</v>
      </c>
      <c r="E49" s="11">
        <v>13</v>
      </c>
      <c r="F49" s="81"/>
      <c r="G49" s="81"/>
      <c r="H49" s="81"/>
      <c r="I49" s="81"/>
      <c r="J49" s="81"/>
      <c r="K49" s="81"/>
      <c r="L49" s="91"/>
      <c r="M49" s="1"/>
      <c r="N49" s="6"/>
      <c r="O49" s="6"/>
      <c r="R49" s="1"/>
    </row>
    <row r="50" spans="1:18">
      <c r="A50" s="80"/>
      <c r="B50" s="8">
        <f t="shared" si="0"/>
        <v>805</v>
      </c>
      <c r="C50" s="9">
        <v>14</v>
      </c>
      <c r="D50" s="9">
        <v>15</v>
      </c>
      <c r="E50" s="9">
        <v>16</v>
      </c>
      <c r="F50" s="81"/>
      <c r="G50" s="81"/>
      <c r="H50" s="81"/>
      <c r="I50" s="81"/>
      <c r="J50" s="81"/>
      <c r="K50" s="81"/>
      <c r="L50" s="91"/>
      <c r="O50" s="6"/>
    </row>
    <row r="51" spans="1:18">
      <c r="A51" s="80"/>
      <c r="B51" s="8">
        <f t="shared" si="0"/>
        <v>806</v>
      </c>
      <c r="C51" s="9">
        <v>17</v>
      </c>
      <c r="D51" s="9">
        <v>18</v>
      </c>
      <c r="E51" s="9">
        <v>19</v>
      </c>
      <c r="F51" s="81"/>
      <c r="G51" s="81"/>
      <c r="H51" s="81"/>
      <c r="I51" s="81"/>
      <c r="J51" s="81"/>
      <c r="K51" s="81"/>
      <c r="L51" s="91"/>
      <c r="O51" s="6"/>
    </row>
    <row r="52" spans="1:18">
      <c r="A52" s="80">
        <v>9</v>
      </c>
      <c r="B52" s="8">
        <f t="shared" si="0"/>
        <v>901</v>
      </c>
      <c r="C52" s="9">
        <v>26</v>
      </c>
      <c r="D52" s="9">
        <v>27</v>
      </c>
      <c r="E52" s="9">
        <v>28</v>
      </c>
      <c r="F52" s="9">
        <v>25</v>
      </c>
      <c r="G52" s="9">
        <v>44</v>
      </c>
      <c r="H52" s="9">
        <v>45</v>
      </c>
      <c r="I52" s="10">
        <v>46</v>
      </c>
      <c r="J52" s="9">
        <v>47</v>
      </c>
      <c r="K52" s="9">
        <v>48</v>
      </c>
      <c r="L52" s="91"/>
      <c r="O52" s="6"/>
    </row>
    <row r="53" spans="1:18">
      <c r="A53" s="80"/>
      <c r="B53" s="8">
        <f t="shared" si="0"/>
        <v>902</v>
      </c>
      <c r="C53" s="9">
        <v>29</v>
      </c>
      <c r="D53" s="9">
        <v>30</v>
      </c>
      <c r="E53" s="9">
        <v>31</v>
      </c>
      <c r="F53" s="81"/>
      <c r="G53" s="81"/>
      <c r="H53" s="81"/>
      <c r="I53" s="81"/>
      <c r="J53" s="81"/>
      <c r="K53" s="81"/>
      <c r="L53" s="91"/>
      <c r="O53" s="6"/>
    </row>
    <row r="54" spans="1:18">
      <c r="A54" s="80"/>
      <c r="B54" s="8">
        <f t="shared" si="0"/>
        <v>903</v>
      </c>
      <c r="C54" s="9">
        <v>32</v>
      </c>
      <c r="D54" s="9">
        <v>33</v>
      </c>
      <c r="E54" s="9">
        <v>34</v>
      </c>
      <c r="F54" s="81"/>
      <c r="G54" s="81"/>
      <c r="H54" s="81"/>
      <c r="I54" s="81"/>
      <c r="J54" s="81"/>
      <c r="K54" s="81"/>
      <c r="L54" s="91"/>
      <c r="O54" s="6"/>
    </row>
    <row r="55" spans="1:18">
      <c r="A55" s="80"/>
      <c r="B55" s="8">
        <f t="shared" si="0"/>
        <v>904</v>
      </c>
      <c r="C55" s="9">
        <v>35</v>
      </c>
      <c r="D55" s="11">
        <v>36</v>
      </c>
      <c r="E55" s="11">
        <v>37</v>
      </c>
      <c r="F55" s="81"/>
      <c r="G55" s="81"/>
      <c r="H55" s="81"/>
      <c r="I55" s="81"/>
      <c r="J55" s="81"/>
      <c r="K55" s="81"/>
      <c r="L55" s="91"/>
      <c r="O55" s="6"/>
    </row>
    <row r="56" spans="1:18">
      <c r="A56" s="80"/>
      <c r="B56" s="8">
        <f t="shared" si="0"/>
        <v>905</v>
      </c>
      <c r="C56" s="9">
        <v>38</v>
      </c>
      <c r="D56" s="9">
        <v>39</v>
      </c>
      <c r="E56" s="9">
        <v>40</v>
      </c>
      <c r="F56" s="81"/>
      <c r="G56" s="81"/>
      <c r="H56" s="81"/>
      <c r="I56" s="81"/>
      <c r="J56" s="81"/>
      <c r="K56" s="81"/>
      <c r="L56" s="91"/>
      <c r="O56" s="6"/>
    </row>
    <row r="57" spans="1:18">
      <c r="A57" s="80"/>
      <c r="B57" s="8">
        <f t="shared" si="0"/>
        <v>906</v>
      </c>
      <c r="C57" s="9">
        <v>41</v>
      </c>
      <c r="D57" s="9">
        <v>42</v>
      </c>
      <c r="E57" s="9">
        <v>43</v>
      </c>
      <c r="F57" s="81"/>
      <c r="G57" s="81"/>
      <c r="H57" s="81"/>
      <c r="I57" s="81"/>
      <c r="J57" s="81"/>
      <c r="K57" s="81"/>
      <c r="L57" s="91"/>
      <c r="O57" s="6"/>
    </row>
    <row r="58" spans="1:18">
      <c r="A58" s="80">
        <v>10</v>
      </c>
      <c r="B58" s="8">
        <f t="shared" si="0"/>
        <v>1001</v>
      </c>
      <c r="C58" s="9">
        <v>50</v>
      </c>
      <c r="D58" s="9">
        <v>51</v>
      </c>
      <c r="E58" s="9">
        <v>52</v>
      </c>
      <c r="F58" s="9">
        <v>49</v>
      </c>
      <c r="G58" s="9">
        <v>68</v>
      </c>
      <c r="H58" s="9">
        <v>69</v>
      </c>
      <c r="I58" s="9">
        <v>70</v>
      </c>
      <c r="J58" s="9">
        <v>71</v>
      </c>
      <c r="K58" s="9">
        <v>72</v>
      </c>
      <c r="L58" s="91"/>
      <c r="O58" s="6"/>
    </row>
    <row r="59" spans="1:18">
      <c r="A59" s="80"/>
      <c r="B59" s="8">
        <f t="shared" si="0"/>
        <v>1002</v>
      </c>
      <c r="C59" s="9">
        <v>53</v>
      </c>
      <c r="D59" s="9">
        <v>54</v>
      </c>
      <c r="E59" s="9">
        <v>55</v>
      </c>
      <c r="F59" s="168"/>
      <c r="G59" s="168"/>
      <c r="H59" s="168"/>
      <c r="I59" s="168"/>
      <c r="J59" s="168"/>
      <c r="K59" s="168"/>
      <c r="L59" s="91"/>
      <c r="O59" s="6"/>
    </row>
    <row r="60" spans="1:18">
      <c r="A60" s="80"/>
      <c r="B60" s="8">
        <f t="shared" si="0"/>
        <v>1003</v>
      </c>
      <c r="C60" s="9">
        <v>56</v>
      </c>
      <c r="D60" s="9">
        <v>57</v>
      </c>
      <c r="E60" s="9">
        <v>58</v>
      </c>
      <c r="F60" s="168"/>
      <c r="G60" s="168"/>
      <c r="H60" s="168"/>
      <c r="I60" s="168"/>
      <c r="J60" s="168"/>
      <c r="K60" s="168"/>
      <c r="L60" s="91"/>
      <c r="O60" s="6"/>
    </row>
    <row r="61" spans="1:18">
      <c r="A61" s="80"/>
      <c r="B61" s="8">
        <f t="shared" si="0"/>
        <v>1004</v>
      </c>
      <c r="C61" s="9">
        <v>59</v>
      </c>
      <c r="D61" s="9">
        <v>60</v>
      </c>
      <c r="E61" s="9">
        <v>61</v>
      </c>
      <c r="F61" s="168"/>
      <c r="G61" s="168"/>
      <c r="H61" s="168"/>
      <c r="I61" s="168"/>
      <c r="J61" s="168"/>
      <c r="K61" s="168"/>
      <c r="L61" s="91"/>
      <c r="O61" s="6"/>
    </row>
    <row r="62" spans="1:18">
      <c r="A62" s="80"/>
      <c r="B62" s="8">
        <f t="shared" si="0"/>
        <v>1005</v>
      </c>
      <c r="C62" s="9">
        <v>62</v>
      </c>
      <c r="D62" s="9">
        <v>63</v>
      </c>
      <c r="E62" s="9">
        <v>64</v>
      </c>
      <c r="F62" s="168"/>
      <c r="G62" s="168"/>
      <c r="H62" s="168"/>
      <c r="I62" s="168"/>
      <c r="J62" s="168"/>
      <c r="K62" s="168"/>
      <c r="L62" s="91"/>
      <c r="O62" s="6"/>
    </row>
    <row r="63" spans="1:18">
      <c r="A63" s="80"/>
      <c r="B63" s="8">
        <f t="shared" si="0"/>
        <v>1006</v>
      </c>
      <c r="C63" s="9">
        <v>65</v>
      </c>
      <c r="D63" s="9">
        <v>66</v>
      </c>
      <c r="E63" s="11">
        <v>67</v>
      </c>
      <c r="F63" s="168"/>
      <c r="G63" s="168"/>
      <c r="H63" s="168"/>
      <c r="I63" s="168"/>
      <c r="J63" s="168"/>
      <c r="K63" s="168"/>
      <c r="L63" s="91"/>
      <c r="O63" s="6"/>
    </row>
    <row r="64" spans="1:18">
      <c r="A64" s="80">
        <v>11</v>
      </c>
      <c r="B64" s="8">
        <f t="shared" si="0"/>
        <v>1101</v>
      </c>
      <c r="C64" s="10">
        <v>2</v>
      </c>
      <c r="D64" s="9">
        <v>3</v>
      </c>
      <c r="E64" s="9">
        <v>4</v>
      </c>
      <c r="F64" s="9">
        <v>1</v>
      </c>
      <c r="G64" s="9">
        <v>20</v>
      </c>
      <c r="H64" s="9">
        <v>21</v>
      </c>
      <c r="I64" s="9">
        <v>22</v>
      </c>
      <c r="J64" s="11">
        <v>23</v>
      </c>
      <c r="K64" s="9">
        <v>24</v>
      </c>
      <c r="L64" s="100" t="s">
        <v>16</v>
      </c>
      <c r="O64" s="6"/>
    </row>
    <row r="65" spans="1:15">
      <c r="A65" s="80"/>
      <c r="B65" s="8">
        <f t="shared" si="0"/>
        <v>1102</v>
      </c>
      <c r="C65" s="9">
        <v>5</v>
      </c>
      <c r="D65" s="9">
        <v>6</v>
      </c>
      <c r="E65" s="9">
        <v>7</v>
      </c>
      <c r="F65" s="81"/>
      <c r="G65" s="81"/>
      <c r="H65" s="81"/>
      <c r="I65" s="81"/>
      <c r="J65" s="81"/>
      <c r="K65" s="81"/>
      <c r="L65" s="101"/>
      <c r="O65" s="6"/>
    </row>
    <row r="66" spans="1:15">
      <c r="A66" s="80"/>
      <c r="B66" s="8">
        <f t="shared" si="0"/>
        <v>1103</v>
      </c>
      <c r="C66" s="9">
        <v>8</v>
      </c>
      <c r="D66" s="9">
        <v>9</v>
      </c>
      <c r="E66" s="9">
        <v>10</v>
      </c>
      <c r="F66" s="81"/>
      <c r="G66" s="81"/>
      <c r="H66" s="81"/>
      <c r="I66" s="81"/>
      <c r="J66" s="81"/>
      <c r="K66" s="81"/>
      <c r="L66" s="101"/>
      <c r="O66" s="6"/>
    </row>
    <row r="67" spans="1:15">
      <c r="A67" s="80"/>
      <c r="B67" s="8">
        <f t="shared" si="0"/>
        <v>1104</v>
      </c>
      <c r="C67" s="9">
        <v>11</v>
      </c>
      <c r="D67" s="9">
        <v>12</v>
      </c>
      <c r="E67" s="9">
        <v>13</v>
      </c>
      <c r="F67" s="81"/>
      <c r="G67" s="81"/>
      <c r="H67" s="81"/>
      <c r="I67" s="81"/>
      <c r="J67" s="81"/>
      <c r="K67" s="81"/>
      <c r="L67" s="101"/>
      <c r="O67" s="6"/>
    </row>
    <row r="68" spans="1:15">
      <c r="A68" s="80"/>
      <c r="B68" s="8">
        <f t="shared" si="0"/>
        <v>1105</v>
      </c>
      <c r="C68" s="9">
        <v>14</v>
      </c>
      <c r="D68" s="9">
        <v>15</v>
      </c>
      <c r="E68" s="9">
        <v>16</v>
      </c>
      <c r="F68" s="81"/>
      <c r="G68" s="81"/>
      <c r="H68" s="81"/>
      <c r="I68" s="81"/>
      <c r="J68" s="81"/>
      <c r="K68" s="81"/>
      <c r="L68" s="101"/>
      <c r="O68" s="6"/>
    </row>
    <row r="69" spans="1:15">
      <c r="A69" s="80"/>
      <c r="B69" s="8">
        <f t="shared" ref="B69:B132" si="1">(INT((ROW()-4)/6)+1)*100 + MOD(ROW()-4,6)+1</f>
        <v>1106</v>
      </c>
      <c r="C69" s="9">
        <v>17</v>
      </c>
      <c r="D69" s="9">
        <v>18</v>
      </c>
      <c r="E69" s="9">
        <v>19</v>
      </c>
      <c r="F69" s="81"/>
      <c r="G69" s="81"/>
      <c r="H69" s="81"/>
      <c r="I69" s="81"/>
      <c r="J69" s="81"/>
      <c r="K69" s="81"/>
      <c r="L69" s="101"/>
      <c r="O69" s="6"/>
    </row>
    <row r="70" spans="1:15">
      <c r="A70" s="80">
        <v>12</v>
      </c>
      <c r="B70" s="8">
        <f t="shared" si="1"/>
        <v>1201</v>
      </c>
      <c r="C70" s="9">
        <v>26</v>
      </c>
      <c r="D70" s="11">
        <v>27</v>
      </c>
      <c r="E70" s="11">
        <v>28</v>
      </c>
      <c r="F70" s="9">
        <v>25</v>
      </c>
      <c r="G70" s="9">
        <v>44</v>
      </c>
      <c r="H70" s="9">
        <v>45</v>
      </c>
      <c r="I70" s="9">
        <v>46</v>
      </c>
      <c r="J70" s="9">
        <v>47</v>
      </c>
      <c r="K70" s="9">
        <v>48</v>
      </c>
      <c r="L70" s="101"/>
      <c r="O70" s="6"/>
    </row>
    <row r="71" spans="1:15">
      <c r="A71" s="80"/>
      <c r="B71" s="8">
        <f t="shared" si="1"/>
        <v>1202</v>
      </c>
      <c r="C71" s="9">
        <v>29</v>
      </c>
      <c r="D71" s="9">
        <v>30</v>
      </c>
      <c r="E71" s="9">
        <v>31</v>
      </c>
      <c r="F71" s="81"/>
      <c r="G71" s="81"/>
      <c r="H71" s="81"/>
      <c r="I71" s="81"/>
      <c r="J71" s="81"/>
      <c r="K71" s="81"/>
      <c r="L71" s="101"/>
      <c r="O71" s="6"/>
    </row>
    <row r="72" spans="1:15">
      <c r="A72" s="80"/>
      <c r="B72" s="8">
        <f t="shared" si="1"/>
        <v>1203</v>
      </c>
      <c r="C72" s="9">
        <v>32</v>
      </c>
      <c r="D72" s="11">
        <v>33</v>
      </c>
      <c r="E72" s="9">
        <v>34</v>
      </c>
      <c r="F72" s="81"/>
      <c r="G72" s="81"/>
      <c r="H72" s="81"/>
      <c r="I72" s="81"/>
      <c r="J72" s="81"/>
      <c r="K72" s="81"/>
      <c r="L72" s="101"/>
      <c r="O72" s="6"/>
    </row>
    <row r="73" spans="1:15">
      <c r="A73" s="80"/>
      <c r="B73" s="8">
        <f t="shared" si="1"/>
        <v>1204</v>
      </c>
      <c r="C73" s="9">
        <v>35</v>
      </c>
      <c r="D73" s="11">
        <v>36</v>
      </c>
      <c r="E73" s="10">
        <v>37</v>
      </c>
      <c r="F73" s="81"/>
      <c r="G73" s="81"/>
      <c r="H73" s="81"/>
      <c r="I73" s="81"/>
      <c r="J73" s="81"/>
      <c r="K73" s="81"/>
      <c r="L73" s="101"/>
      <c r="O73" s="6"/>
    </row>
    <row r="74" spans="1:15">
      <c r="A74" s="80"/>
      <c r="B74" s="8">
        <f t="shared" si="1"/>
        <v>1205</v>
      </c>
      <c r="C74" s="9">
        <v>38</v>
      </c>
      <c r="D74" s="10">
        <v>39</v>
      </c>
      <c r="E74" s="9">
        <v>40</v>
      </c>
      <c r="F74" s="81"/>
      <c r="G74" s="81"/>
      <c r="H74" s="81"/>
      <c r="I74" s="81"/>
      <c r="J74" s="81"/>
      <c r="K74" s="81"/>
      <c r="L74" s="101"/>
      <c r="O74" s="6"/>
    </row>
    <row r="75" spans="1:15">
      <c r="A75" s="80"/>
      <c r="B75" s="8">
        <f t="shared" si="1"/>
        <v>1206</v>
      </c>
      <c r="C75" s="9">
        <v>41</v>
      </c>
      <c r="D75" s="11">
        <v>42</v>
      </c>
      <c r="E75" s="9">
        <v>43</v>
      </c>
      <c r="F75" s="81"/>
      <c r="G75" s="81"/>
      <c r="H75" s="81"/>
      <c r="I75" s="81"/>
      <c r="J75" s="81"/>
      <c r="K75" s="81"/>
      <c r="L75" s="101"/>
      <c r="O75" s="6"/>
    </row>
    <row r="76" spans="1:15">
      <c r="A76" s="80">
        <v>13</v>
      </c>
      <c r="B76" s="8">
        <f t="shared" si="1"/>
        <v>1301</v>
      </c>
      <c r="C76" s="9">
        <v>50</v>
      </c>
      <c r="D76" s="11">
        <v>51</v>
      </c>
      <c r="E76" s="9">
        <v>52</v>
      </c>
      <c r="F76" s="9">
        <v>49</v>
      </c>
      <c r="G76" s="10">
        <v>68</v>
      </c>
      <c r="H76" s="10">
        <v>69</v>
      </c>
      <c r="I76" s="10">
        <v>70</v>
      </c>
      <c r="J76" s="9">
        <v>71</v>
      </c>
      <c r="K76" s="9">
        <v>72</v>
      </c>
      <c r="L76" s="101"/>
      <c r="O76" s="6"/>
    </row>
    <row r="77" spans="1:15">
      <c r="A77" s="80"/>
      <c r="B77" s="8">
        <f t="shared" si="1"/>
        <v>1302</v>
      </c>
      <c r="C77" s="9">
        <v>53</v>
      </c>
      <c r="D77" s="9">
        <v>54</v>
      </c>
      <c r="E77" s="9">
        <v>55</v>
      </c>
      <c r="F77" s="168"/>
      <c r="G77" s="168"/>
      <c r="H77" s="168"/>
      <c r="I77" s="168"/>
      <c r="J77" s="168"/>
      <c r="K77" s="168"/>
      <c r="L77" s="101"/>
      <c r="O77" s="6"/>
    </row>
    <row r="78" spans="1:15">
      <c r="A78" s="80"/>
      <c r="B78" s="8">
        <f t="shared" si="1"/>
        <v>1303</v>
      </c>
      <c r="C78" s="9">
        <v>56</v>
      </c>
      <c r="D78" s="11">
        <v>57</v>
      </c>
      <c r="E78" s="9">
        <v>58</v>
      </c>
      <c r="F78" s="168"/>
      <c r="G78" s="168"/>
      <c r="H78" s="168"/>
      <c r="I78" s="168"/>
      <c r="J78" s="168"/>
      <c r="K78" s="168"/>
      <c r="L78" s="101"/>
      <c r="O78" s="6"/>
    </row>
    <row r="79" spans="1:15">
      <c r="A79" s="80"/>
      <c r="B79" s="8">
        <f t="shared" si="1"/>
        <v>1304</v>
      </c>
      <c r="C79" s="9">
        <v>59</v>
      </c>
      <c r="D79" s="10">
        <v>60</v>
      </c>
      <c r="E79" s="10">
        <v>61</v>
      </c>
      <c r="F79" s="168"/>
      <c r="G79" s="168"/>
      <c r="H79" s="168"/>
      <c r="I79" s="168"/>
      <c r="J79" s="168"/>
      <c r="K79" s="168"/>
      <c r="L79" s="101"/>
      <c r="O79" s="6"/>
    </row>
    <row r="80" spans="1:15">
      <c r="A80" s="80"/>
      <c r="B80" s="8">
        <f t="shared" si="1"/>
        <v>1305</v>
      </c>
      <c r="C80" s="9">
        <v>62</v>
      </c>
      <c r="D80" s="11">
        <v>63</v>
      </c>
      <c r="E80" s="9">
        <v>64</v>
      </c>
      <c r="F80" s="168"/>
      <c r="G80" s="168"/>
      <c r="H80" s="168"/>
      <c r="I80" s="168"/>
      <c r="J80" s="168"/>
      <c r="K80" s="168"/>
      <c r="L80" s="101"/>
      <c r="O80" s="6"/>
    </row>
    <row r="81" spans="1:19">
      <c r="A81" s="80"/>
      <c r="B81" s="8">
        <f t="shared" si="1"/>
        <v>1306</v>
      </c>
      <c r="C81" s="9">
        <v>65</v>
      </c>
      <c r="D81" s="9">
        <v>66</v>
      </c>
      <c r="E81" s="10">
        <v>67</v>
      </c>
      <c r="F81" s="168"/>
      <c r="G81" s="168"/>
      <c r="H81" s="168"/>
      <c r="I81" s="168"/>
      <c r="J81" s="168"/>
      <c r="K81" s="168"/>
      <c r="L81" s="102"/>
      <c r="O81" s="6"/>
    </row>
    <row r="82" spans="1:19">
      <c r="A82" s="106">
        <v>14</v>
      </c>
      <c r="B82" s="22">
        <f t="shared" si="1"/>
        <v>1401</v>
      </c>
      <c r="C82" s="11">
        <v>2</v>
      </c>
      <c r="D82" s="9">
        <v>3</v>
      </c>
      <c r="E82" s="9">
        <v>4</v>
      </c>
      <c r="F82" s="9">
        <v>1</v>
      </c>
      <c r="G82" s="9">
        <v>20</v>
      </c>
      <c r="H82" s="9">
        <v>21</v>
      </c>
      <c r="I82" s="9">
        <v>22</v>
      </c>
      <c r="J82" s="9">
        <v>23</v>
      </c>
      <c r="K82" s="9">
        <v>24</v>
      </c>
      <c r="L82" s="100" t="s">
        <v>18</v>
      </c>
      <c r="O82" s="6"/>
    </row>
    <row r="83" spans="1:19">
      <c r="A83" s="106"/>
      <c r="B83" s="8">
        <f t="shared" si="1"/>
        <v>1402</v>
      </c>
      <c r="C83" s="9">
        <v>5</v>
      </c>
      <c r="D83" s="9">
        <v>6</v>
      </c>
      <c r="E83" s="9">
        <v>7</v>
      </c>
      <c r="F83" s="81"/>
      <c r="G83" s="81"/>
      <c r="H83" s="81"/>
      <c r="I83" s="81"/>
      <c r="J83" s="81"/>
      <c r="K83" s="81"/>
      <c r="L83" s="101"/>
      <c r="O83" s="6"/>
    </row>
    <row r="84" spans="1:19">
      <c r="A84" s="106"/>
      <c r="B84" s="8">
        <f t="shared" si="1"/>
        <v>1403</v>
      </c>
      <c r="C84" s="9">
        <v>8</v>
      </c>
      <c r="D84" s="9">
        <v>9</v>
      </c>
      <c r="E84" s="9">
        <v>10</v>
      </c>
      <c r="F84" s="81"/>
      <c r="G84" s="81"/>
      <c r="H84" s="81"/>
      <c r="I84" s="81"/>
      <c r="J84" s="81"/>
      <c r="K84" s="81"/>
      <c r="L84" s="101"/>
      <c r="O84" s="6"/>
    </row>
    <row r="85" spans="1:19">
      <c r="A85" s="106"/>
      <c r="B85" s="8">
        <f t="shared" si="1"/>
        <v>1404</v>
      </c>
      <c r="C85" s="9">
        <v>11</v>
      </c>
      <c r="D85" s="9">
        <v>12</v>
      </c>
      <c r="E85" s="10">
        <v>13</v>
      </c>
      <c r="F85" s="81"/>
      <c r="G85" s="81"/>
      <c r="H85" s="81"/>
      <c r="I85" s="81"/>
      <c r="J85" s="81"/>
      <c r="K85" s="81"/>
      <c r="L85" s="101"/>
      <c r="O85" s="6"/>
    </row>
    <row r="86" spans="1:19">
      <c r="A86" s="106"/>
      <c r="B86" s="8">
        <f t="shared" si="1"/>
        <v>1405</v>
      </c>
      <c r="C86" s="9">
        <v>14</v>
      </c>
      <c r="D86" s="9">
        <v>15</v>
      </c>
      <c r="E86" s="9">
        <v>16</v>
      </c>
      <c r="F86" s="81"/>
      <c r="G86" s="81"/>
      <c r="H86" s="81"/>
      <c r="I86" s="81"/>
      <c r="J86" s="81"/>
      <c r="K86" s="81"/>
      <c r="L86" s="101"/>
    </row>
    <row r="87" spans="1:19">
      <c r="A87" s="99"/>
      <c r="B87" s="8">
        <f t="shared" si="1"/>
        <v>1406</v>
      </c>
      <c r="C87" s="9">
        <v>17</v>
      </c>
      <c r="D87" s="9">
        <v>18</v>
      </c>
      <c r="E87" s="9">
        <v>19</v>
      </c>
      <c r="F87" s="81"/>
      <c r="G87" s="81"/>
      <c r="H87" s="81"/>
      <c r="I87" s="81"/>
      <c r="J87" s="81"/>
      <c r="K87" s="81"/>
      <c r="L87" s="101"/>
    </row>
    <row r="88" spans="1:19">
      <c r="A88" s="98">
        <v>15</v>
      </c>
      <c r="B88" s="8">
        <f t="shared" si="1"/>
        <v>1501</v>
      </c>
      <c r="C88" s="9">
        <v>26</v>
      </c>
      <c r="D88" s="9">
        <v>27</v>
      </c>
      <c r="E88" s="9">
        <v>28</v>
      </c>
      <c r="F88" s="9">
        <v>25</v>
      </c>
      <c r="G88" s="9">
        <v>44</v>
      </c>
      <c r="H88" s="9">
        <v>45</v>
      </c>
      <c r="I88" s="10">
        <v>46</v>
      </c>
      <c r="J88" s="9">
        <v>47</v>
      </c>
      <c r="K88" s="9">
        <v>48</v>
      </c>
      <c r="L88" s="101"/>
      <c r="N88" s="6"/>
    </row>
    <row r="89" spans="1:19">
      <c r="A89" s="106"/>
      <c r="B89" s="8">
        <f t="shared" si="1"/>
        <v>1502</v>
      </c>
      <c r="C89" s="9">
        <v>29</v>
      </c>
      <c r="D89" s="9">
        <v>30</v>
      </c>
      <c r="E89" s="9">
        <v>31</v>
      </c>
      <c r="F89" s="81"/>
      <c r="G89" s="81"/>
      <c r="H89" s="81"/>
      <c r="I89" s="81"/>
      <c r="J89" s="81"/>
      <c r="K89" s="81"/>
      <c r="L89" s="101"/>
      <c r="N89" s="6"/>
    </row>
    <row r="90" spans="1:19">
      <c r="A90" s="106"/>
      <c r="B90" s="8">
        <f t="shared" si="1"/>
        <v>1503</v>
      </c>
      <c r="C90" s="9">
        <v>32</v>
      </c>
      <c r="D90" s="9">
        <v>33</v>
      </c>
      <c r="E90" s="9">
        <v>34</v>
      </c>
      <c r="F90" s="81"/>
      <c r="G90" s="81"/>
      <c r="H90" s="81"/>
      <c r="I90" s="81"/>
      <c r="J90" s="81"/>
      <c r="K90" s="81"/>
      <c r="L90" s="101"/>
      <c r="N90" s="6"/>
    </row>
    <row r="91" spans="1:19">
      <c r="A91" s="106"/>
      <c r="B91" s="8">
        <f t="shared" si="1"/>
        <v>1504</v>
      </c>
      <c r="C91" s="10">
        <v>35</v>
      </c>
      <c r="D91" s="9">
        <v>36</v>
      </c>
      <c r="E91" s="9">
        <v>37</v>
      </c>
      <c r="F91" s="81"/>
      <c r="G91" s="81"/>
      <c r="H91" s="81"/>
      <c r="I91" s="81"/>
      <c r="J91" s="81"/>
      <c r="K91" s="81"/>
      <c r="L91" s="101"/>
      <c r="N91" s="6"/>
    </row>
    <row r="92" spans="1:19">
      <c r="A92" s="106"/>
      <c r="B92" s="8">
        <f t="shared" si="1"/>
        <v>1505</v>
      </c>
      <c r="C92" s="9">
        <v>38</v>
      </c>
      <c r="D92" s="9">
        <v>39</v>
      </c>
      <c r="E92" s="9">
        <v>40</v>
      </c>
      <c r="F92" s="81"/>
      <c r="G92" s="81"/>
      <c r="H92" s="81"/>
      <c r="I92" s="81"/>
      <c r="J92" s="81"/>
      <c r="K92" s="81"/>
      <c r="L92" s="101"/>
      <c r="N92" s="6"/>
      <c r="S92" s="18"/>
    </row>
    <row r="93" spans="1:19">
      <c r="A93" s="99"/>
      <c r="B93" s="8">
        <f t="shared" si="1"/>
        <v>1506</v>
      </c>
      <c r="C93" s="9">
        <v>41</v>
      </c>
      <c r="D93" s="9">
        <v>42</v>
      </c>
      <c r="E93" s="9">
        <v>43</v>
      </c>
      <c r="F93" s="81"/>
      <c r="G93" s="81"/>
      <c r="H93" s="81"/>
      <c r="I93" s="81"/>
      <c r="J93" s="81"/>
      <c r="K93" s="81"/>
      <c r="L93" s="101"/>
      <c r="N93" s="6"/>
    </row>
    <row r="94" spans="1:19">
      <c r="A94" s="98">
        <v>16</v>
      </c>
      <c r="B94" s="8">
        <f t="shared" si="1"/>
        <v>1601</v>
      </c>
      <c r="C94" s="9">
        <v>50</v>
      </c>
      <c r="D94" s="9">
        <v>51</v>
      </c>
      <c r="E94" s="9">
        <v>52</v>
      </c>
      <c r="F94" s="9">
        <v>49</v>
      </c>
      <c r="G94" s="9">
        <v>68</v>
      </c>
      <c r="H94" s="9">
        <v>69</v>
      </c>
      <c r="I94" s="9">
        <v>70</v>
      </c>
      <c r="J94" s="9">
        <v>71</v>
      </c>
      <c r="K94" s="9">
        <v>72</v>
      </c>
      <c r="L94" s="101"/>
      <c r="N94" s="6"/>
    </row>
    <row r="95" spans="1:19">
      <c r="A95" s="106"/>
      <c r="B95" s="8">
        <f t="shared" si="1"/>
        <v>1602</v>
      </c>
      <c r="C95" s="9">
        <v>53</v>
      </c>
      <c r="D95" s="9">
        <v>54</v>
      </c>
      <c r="E95" s="9">
        <v>55</v>
      </c>
      <c r="F95" s="168"/>
      <c r="G95" s="168"/>
      <c r="H95" s="168"/>
      <c r="I95" s="168"/>
      <c r="J95" s="168"/>
      <c r="K95" s="168"/>
      <c r="L95" s="101"/>
      <c r="N95" s="6"/>
    </row>
    <row r="96" spans="1:19">
      <c r="A96" s="106"/>
      <c r="B96" s="8">
        <f t="shared" si="1"/>
        <v>1603</v>
      </c>
      <c r="C96" s="9">
        <v>56</v>
      </c>
      <c r="D96" s="9">
        <v>57</v>
      </c>
      <c r="E96" s="9">
        <v>58</v>
      </c>
      <c r="F96" s="168"/>
      <c r="G96" s="168"/>
      <c r="H96" s="168"/>
      <c r="I96" s="168"/>
      <c r="J96" s="168"/>
      <c r="K96" s="168"/>
      <c r="L96" s="101"/>
      <c r="N96" s="6"/>
    </row>
    <row r="97" spans="1:15">
      <c r="A97" s="106"/>
      <c r="B97" s="8">
        <f t="shared" si="1"/>
        <v>1604</v>
      </c>
      <c r="C97" s="9">
        <v>59</v>
      </c>
      <c r="D97" s="11">
        <v>60</v>
      </c>
      <c r="E97" s="10">
        <v>61</v>
      </c>
      <c r="F97" s="168"/>
      <c r="G97" s="168"/>
      <c r="H97" s="168"/>
      <c r="I97" s="168"/>
      <c r="J97" s="168"/>
      <c r="K97" s="168"/>
      <c r="L97" s="101"/>
      <c r="N97" s="6"/>
    </row>
    <row r="98" spans="1:15">
      <c r="A98" s="106"/>
      <c r="B98" s="8">
        <f t="shared" si="1"/>
        <v>1605</v>
      </c>
      <c r="C98" s="9">
        <v>62</v>
      </c>
      <c r="D98" s="9">
        <v>63</v>
      </c>
      <c r="E98" s="9">
        <v>64</v>
      </c>
      <c r="F98" s="168"/>
      <c r="G98" s="168"/>
      <c r="H98" s="168"/>
      <c r="I98" s="168"/>
      <c r="J98" s="168"/>
      <c r="K98" s="168"/>
      <c r="L98" s="101"/>
      <c r="N98" s="6"/>
      <c r="O98" s="6"/>
    </row>
    <row r="99" spans="1:15">
      <c r="A99" s="99"/>
      <c r="B99" s="8">
        <f t="shared" si="1"/>
        <v>1606</v>
      </c>
      <c r="C99" s="9">
        <v>65</v>
      </c>
      <c r="D99" s="11">
        <v>66</v>
      </c>
      <c r="E99" s="9">
        <v>67</v>
      </c>
      <c r="F99" s="168"/>
      <c r="G99" s="168"/>
      <c r="H99" s="168"/>
      <c r="I99" s="168"/>
      <c r="J99" s="168"/>
      <c r="K99" s="168"/>
      <c r="L99" s="102"/>
      <c r="N99" s="6"/>
      <c r="O99" s="6"/>
    </row>
    <row r="100" spans="1:15">
      <c r="A100" s="98">
        <v>17</v>
      </c>
      <c r="B100" s="8">
        <f t="shared" si="1"/>
        <v>1701</v>
      </c>
      <c r="C100" s="9">
        <v>2</v>
      </c>
      <c r="D100" s="11">
        <v>3</v>
      </c>
      <c r="E100" s="9">
        <v>4</v>
      </c>
      <c r="F100" s="9">
        <v>1</v>
      </c>
      <c r="G100" s="9">
        <v>20</v>
      </c>
      <c r="H100" s="9">
        <v>21</v>
      </c>
      <c r="I100" s="9">
        <v>22</v>
      </c>
      <c r="J100" s="9">
        <v>23</v>
      </c>
      <c r="K100" s="9">
        <v>24</v>
      </c>
      <c r="L100" s="91" t="s">
        <v>20</v>
      </c>
      <c r="O100" s="6"/>
    </row>
    <row r="101" spans="1:15">
      <c r="A101" s="106"/>
      <c r="B101" s="8">
        <f t="shared" si="1"/>
        <v>1702</v>
      </c>
      <c r="C101" s="9">
        <v>5</v>
      </c>
      <c r="D101" s="9">
        <v>6</v>
      </c>
      <c r="E101" s="9">
        <v>7</v>
      </c>
      <c r="F101" s="81"/>
      <c r="G101" s="81"/>
      <c r="H101" s="81"/>
      <c r="I101" s="81"/>
      <c r="J101" s="81"/>
      <c r="K101" s="81"/>
      <c r="L101" s="91"/>
      <c r="O101" s="6"/>
    </row>
    <row r="102" spans="1:15">
      <c r="A102" s="106"/>
      <c r="B102" s="8">
        <f t="shared" si="1"/>
        <v>1703</v>
      </c>
      <c r="C102" s="11">
        <v>8</v>
      </c>
      <c r="D102" s="11">
        <v>9</v>
      </c>
      <c r="E102" s="9">
        <v>10</v>
      </c>
      <c r="F102" s="81"/>
      <c r="G102" s="81"/>
      <c r="H102" s="81"/>
      <c r="I102" s="81"/>
      <c r="J102" s="81"/>
      <c r="K102" s="81"/>
      <c r="L102" s="91"/>
      <c r="O102" s="6"/>
    </row>
    <row r="103" spans="1:15">
      <c r="A103" s="106"/>
      <c r="B103" s="8">
        <f t="shared" si="1"/>
        <v>1704</v>
      </c>
      <c r="C103" s="9">
        <v>11</v>
      </c>
      <c r="D103" s="9">
        <v>12</v>
      </c>
      <c r="E103" s="9">
        <v>13</v>
      </c>
      <c r="F103" s="81"/>
      <c r="G103" s="81"/>
      <c r="H103" s="81"/>
      <c r="I103" s="81"/>
      <c r="J103" s="81"/>
      <c r="K103" s="81"/>
      <c r="L103" s="91"/>
      <c r="O103" s="6"/>
    </row>
    <row r="104" spans="1:15">
      <c r="A104" s="106"/>
      <c r="B104" s="8">
        <f t="shared" si="1"/>
        <v>1705</v>
      </c>
      <c r="C104" s="9">
        <v>14</v>
      </c>
      <c r="D104" s="9">
        <v>15</v>
      </c>
      <c r="E104" s="9">
        <v>16</v>
      </c>
      <c r="F104" s="81"/>
      <c r="G104" s="81"/>
      <c r="H104" s="81"/>
      <c r="I104" s="81"/>
      <c r="J104" s="81"/>
      <c r="K104" s="81"/>
      <c r="L104" s="91"/>
    </row>
    <row r="105" spans="1:15">
      <c r="A105" s="99"/>
      <c r="B105" s="8">
        <f t="shared" si="1"/>
        <v>1706</v>
      </c>
      <c r="C105" s="11">
        <v>17</v>
      </c>
      <c r="D105" s="11">
        <v>18</v>
      </c>
      <c r="E105" s="9">
        <v>19</v>
      </c>
      <c r="F105" s="81"/>
      <c r="G105" s="81"/>
      <c r="H105" s="81"/>
      <c r="I105" s="81"/>
      <c r="J105" s="81"/>
      <c r="K105" s="81"/>
      <c r="L105" s="91"/>
    </row>
    <row r="106" spans="1:15">
      <c r="A106" s="178">
        <v>18</v>
      </c>
      <c r="B106" s="8">
        <f t="shared" si="1"/>
        <v>1801</v>
      </c>
      <c r="C106" s="9">
        <v>26</v>
      </c>
      <c r="D106" s="9">
        <v>27</v>
      </c>
      <c r="E106" s="11">
        <v>28</v>
      </c>
      <c r="F106" s="9">
        <v>25</v>
      </c>
      <c r="G106" s="9">
        <v>44</v>
      </c>
      <c r="H106" s="9">
        <v>45</v>
      </c>
      <c r="I106" s="9">
        <v>46</v>
      </c>
      <c r="J106" s="9">
        <v>47</v>
      </c>
      <c r="K106" s="9">
        <v>48</v>
      </c>
      <c r="L106" s="91"/>
    </row>
    <row r="107" spans="1:15">
      <c r="A107" s="179"/>
      <c r="B107" s="8">
        <f t="shared" si="1"/>
        <v>1802</v>
      </c>
      <c r="C107" s="9">
        <v>29</v>
      </c>
      <c r="D107" s="11">
        <v>30</v>
      </c>
      <c r="E107" s="11">
        <v>31</v>
      </c>
      <c r="F107" s="81"/>
      <c r="G107" s="81"/>
      <c r="H107" s="81"/>
      <c r="I107" s="81"/>
      <c r="J107" s="81"/>
      <c r="K107" s="81"/>
      <c r="L107" s="91"/>
    </row>
    <row r="108" spans="1:15">
      <c r="A108" s="179"/>
      <c r="B108" s="8">
        <f t="shared" si="1"/>
        <v>1803</v>
      </c>
      <c r="C108" s="9">
        <v>32</v>
      </c>
      <c r="D108" s="9">
        <v>33</v>
      </c>
      <c r="E108" s="9">
        <v>34</v>
      </c>
      <c r="F108" s="81"/>
      <c r="G108" s="81"/>
      <c r="H108" s="81"/>
      <c r="I108" s="81"/>
      <c r="J108" s="81"/>
      <c r="K108" s="81"/>
      <c r="L108" s="91"/>
    </row>
    <row r="109" spans="1:15">
      <c r="A109" s="179"/>
      <c r="B109" s="8">
        <f t="shared" si="1"/>
        <v>1804</v>
      </c>
      <c r="C109" s="9">
        <v>35</v>
      </c>
      <c r="D109" s="9">
        <v>36</v>
      </c>
      <c r="E109" s="9">
        <v>37</v>
      </c>
      <c r="F109" s="81"/>
      <c r="G109" s="81"/>
      <c r="H109" s="81"/>
      <c r="I109" s="81"/>
      <c r="J109" s="81"/>
      <c r="K109" s="81"/>
      <c r="L109" s="91"/>
    </row>
    <row r="110" spans="1:15">
      <c r="A110" s="179"/>
      <c r="B110" s="8">
        <f t="shared" si="1"/>
        <v>1805</v>
      </c>
      <c r="C110" s="10">
        <v>38</v>
      </c>
      <c r="D110" s="9">
        <v>39</v>
      </c>
      <c r="E110" s="9">
        <v>40</v>
      </c>
      <c r="F110" s="81"/>
      <c r="G110" s="81"/>
      <c r="H110" s="81"/>
      <c r="I110" s="81"/>
      <c r="J110" s="81"/>
      <c r="K110" s="81"/>
      <c r="L110" s="91"/>
    </row>
    <row r="111" spans="1:15">
      <c r="A111" s="180"/>
      <c r="B111" s="8">
        <f t="shared" si="1"/>
        <v>1806</v>
      </c>
      <c r="C111" s="11">
        <v>41</v>
      </c>
      <c r="D111" s="9">
        <v>42</v>
      </c>
      <c r="E111" s="9">
        <v>43</v>
      </c>
      <c r="F111" s="81"/>
      <c r="G111" s="81"/>
      <c r="H111" s="81"/>
      <c r="I111" s="81"/>
      <c r="J111" s="81"/>
      <c r="K111" s="81"/>
      <c r="L111" s="91"/>
    </row>
    <row r="112" spans="1:15">
      <c r="A112" s="178">
        <v>19</v>
      </c>
      <c r="B112" s="8">
        <f t="shared" si="1"/>
        <v>1901</v>
      </c>
      <c r="C112" s="9">
        <v>50</v>
      </c>
      <c r="D112" s="9">
        <v>51</v>
      </c>
      <c r="E112" s="9">
        <v>52</v>
      </c>
      <c r="F112" s="9">
        <v>49</v>
      </c>
      <c r="G112" s="9">
        <v>68</v>
      </c>
      <c r="H112" s="9">
        <v>69</v>
      </c>
      <c r="I112" s="9">
        <v>70</v>
      </c>
      <c r="J112" s="9">
        <v>71</v>
      </c>
      <c r="K112" s="9">
        <v>72</v>
      </c>
      <c r="L112" s="91"/>
    </row>
    <row r="113" spans="1:12">
      <c r="A113" s="179"/>
      <c r="B113" s="8">
        <f t="shared" si="1"/>
        <v>1902</v>
      </c>
      <c r="C113" s="9">
        <v>53</v>
      </c>
      <c r="D113" s="9">
        <v>54</v>
      </c>
      <c r="E113" s="9">
        <v>55</v>
      </c>
      <c r="F113" s="168"/>
      <c r="G113" s="168"/>
      <c r="H113" s="168"/>
      <c r="I113" s="168"/>
      <c r="J113" s="168"/>
      <c r="K113" s="168"/>
      <c r="L113" s="91"/>
    </row>
    <row r="114" spans="1:12">
      <c r="A114" s="179"/>
      <c r="B114" s="8">
        <f t="shared" si="1"/>
        <v>1903</v>
      </c>
      <c r="C114" s="9">
        <v>56</v>
      </c>
      <c r="D114" s="9">
        <v>57</v>
      </c>
      <c r="E114" s="9">
        <v>58</v>
      </c>
      <c r="F114" s="168"/>
      <c r="G114" s="168"/>
      <c r="H114" s="168"/>
      <c r="I114" s="168"/>
      <c r="J114" s="168"/>
      <c r="K114" s="168"/>
      <c r="L114" s="91"/>
    </row>
    <row r="115" spans="1:12">
      <c r="A115" s="179"/>
      <c r="B115" s="8">
        <f t="shared" si="1"/>
        <v>1904</v>
      </c>
      <c r="C115" s="9">
        <v>59</v>
      </c>
      <c r="D115" s="9">
        <v>60</v>
      </c>
      <c r="E115" s="9">
        <v>61</v>
      </c>
      <c r="F115" s="168"/>
      <c r="G115" s="168"/>
      <c r="H115" s="168"/>
      <c r="I115" s="168"/>
      <c r="J115" s="168"/>
      <c r="K115" s="168"/>
      <c r="L115" s="91"/>
    </row>
    <row r="116" spans="1:12">
      <c r="A116" s="179"/>
      <c r="B116" s="8">
        <f t="shared" si="1"/>
        <v>1905</v>
      </c>
      <c r="C116" s="9">
        <v>62</v>
      </c>
      <c r="D116" s="11">
        <v>63</v>
      </c>
      <c r="E116" s="9">
        <v>64</v>
      </c>
      <c r="F116" s="168"/>
      <c r="G116" s="168"/>
      <c r="H116" s="168"/>
      <c r="I116" s="168"/>
      <c r="J116" s="168"/>
      <c r="K116" s="168"/>
      <c r="L116" s="91"/>
    </row>
    <row r="117" spans="1:12">
      <c r="A117" s="180"/>
      <c r="B117" s="8">
        <f t="shared" si="1"/>
        <v>1906</v>
      </c>
      <c r="C117" s="9">
        <v>65</v>
      </c>
      <c r="D117" s="9">
        <v>66</v>
      </c>
      <c r="E117" s="9">
        <v>67</v>
      </c>
      <c r="F117" s="168"/>
      <c r="G117" s="168"/>
      <c r="H117" s="168"/>
      <c r="I117" s="168"/>
      <c r="J117" s="168"/>
      <c r="K117" s="168"/>
      <c r="L117" s="91"/>
    </row>
    <row r="118" spans="1:12">
      <c r="A118" s="178">
        <v>20</v>
      </c>
      <c r="B118" s="8">
        <f t="shared" si="1"/>
        <v>2001</v>
      </c>
      <c r="C118" s="9">
        <v>2</v>
      </c>
      <c r="D118" s="9">
        <v>3</v>
      </c>
      <c r="E118" s="9">
        <v>4</v>
      </c>
      <c r="F118" s="9">
        <v>1</v>
      </c>
      <c r="G118" s="9">
        <v>20</v>
      </c>
      <c r="H118" s="9">
        <v>21</v>
      </c>
      <c r="I118" s="9">
        <v>22</v>
      </c>
      <c r="J118" s="9">
        <v>23</v>
      </c>
      <c r="K118" s="9">
        <v>24</v>
      </c>
      <c r="L118" s="91" t="s">
        <v>21</v>
      </c>
    </row>
    <row r="119" spans="1:12">
      <c r="A119" s="179"/>
      <c r="B119" s="8">
        <f t="shared" si="1"/>
        <v>2002</v>
      </c>
      <c r="C119" s="9">
        <v>5</v>
      </c>
      <c r="D119" s="9">
        <v>6</v>
      </c>
      <c r="E119" s="9">
        <v>7</v>
      </c>
      <c r="F119" s="81"/>
      <c r="G119" s="81"/>
      <c r="H119" s="81"/>
      <c r="I119" s="81"/>
      <c r="J119" s="81"/>
      <c r="K119" s="81"/>
      <c r="L119" s="91"/>
    </row>
    <row r="120" spans="1:12">
      <c r="A120" s="179"/>
      <c r="B120" s="8">
        <f t="shared" si="1"/>
        <v>2003</v>
      </c>
      <c r="C120" s="9">
        <v>8</v>
      </c>
      <c r="D120" s="9">
        <v>9</v>
      </c>
      <c r="E120" s="9">
        <v>10</v>
      </c>
      <c r="F120" s="81"/>
      <c r="G120" s="81"/>
      <c r="H120" s="81"/>
      <c r="I120" s="81"/>
      <c r="J120" s="81"/>
      <c r="K120" s="81"/>
      <c r="L120" s="91"/>
    </row>
    <row r="121" spans="1:12">
      <c r="A121" s="179"/>
      <c r="B121" s="8">
        <f t="shared" si="1"/>
        <v>2004</v>
      </c>
      <c r="C121" s="9">
        <v>11</v>
      </c>
      <c r="D121" s="9">
        <v>12</v>
      </c>
      <c r="E121" s="9">
        <v>13</v>
      </c>
      <c r="F121" s="81"/>
      <c r="G121" s="81"/>
      <c r="H121" s="81"/>
      <c r="I121" s="81"/>
      <c r="J121" s="81"/>
      <c r="K121" s="81"/>
      <c r="L121" s="91"/>
    </row>
    <row r="122" spans="1:12">
      <c r="A122" s="179"/>
      <c r="B122" s="8">
        <f t="shared" si="1"/>
        <v>2005</v>
      </c>
      <c r="C122" s="9">
        <v>14</v>
      </c>
      <c r="D122" s="10">
        <v>15</v>
      </c>
      <c r="E122" s="9">
        <v>16</v>
      </c>
      <c r="F122" s="81"/>
      <c r="G122" s="81"/>
      <c r="H122" s="81"/>
      <c r="I122" s="81"/>
      <c r="J122" s="81"/>
      <c r="K122" s="81"/>
      <c r="L122" s="91"/>
    </row>
    <row r="123" spans="1:12">
      <c r="A123" s="180"/>
      <c r="B123" s="8">
        <f t="shared" si="1"/>
        <v>2006</v>
      </c>
      <c r="C123" s="9">
        <v>17</v>
      </c>
      <c r="D123" s="9">
        <v>18</v>
      </c>
      <c r="E123" s="10">
        <v>19</v>
      </c>
      <c r="F123" s="81"/>
      <c r="G123" s="81"/>
      <c r="H123" s="81"/>
      <c r="I123" s="81"/>
      <c r="J123" s="81"/>
      <c r="K123" s="81"/>
      <c r="L123" s="91"/>
    </row>
    <row r="124" spans="1:12">
      <c r="A124" s="178">
        <v>21</v>
      </c>
      <c r="B124" s="8">
        <f t="shared" si="1"/>
        <v>2101</v>
      </c>
      <c r="C124" s="9">
        <v>26</v>
      </c>
      <c r="D124" s="9">
        <v>27</v>
      </c>
      <c r="E124" s="9">
        <v>28</v>
      </c>
      <c r="F124" s="9">
        <v>25</v>
      </c>
      <c r="G124" s="9">
        <v>44</v>
      </c>
      <c r="H124" s="9">
        <v>45</v>
      </c>
      <c r="I124" s="9">
        <v>46</v>
      </c>
      <c r="J124" s="9">
        <v>47</v>
      </c>
      <c r="K124" s="9">
        <v>48</v>
      </c>
      <c r="L124" s="91"/>
    </row>
    <row r="125" spans="1:12">
      <c r="A125" s="179"/>
      <c r="B125" s="8">
        <f t="shared" si="1"/>
        <v>2102</v>
      </c>
      <c r="C125" s="9">
        <v>29</v>
      </c>
      <c r="D125" s="9">
        <v>30</v>
      </c>
      <c r="E125" s="10">
        <v>31</v>
      </c>
      <c r="F125" s="81"/>
      <c r="G125" s="81"/>
      <c r="H125" s="81"/>
      <c r="I125" s="81"/>
      <c r="J125" s="81"/>
      <c r="K125" s="81"/>
      <c r="L125" s="91"/>
    </row>
    <row r="126" spans="1:12">
      <c r="A126" s="179"/>
      <c r="B126" s="8">
        <f t="shared" si="1"/>
        <v>2103</v>
      </c>
      <c r="C126" s="9">
        <v>32</v>
      </c>
      <c r="D126" s="9">
        <v>33</v>
      </c>
      <c r="E126" s="9">
        <v>34</v>
      </c>
      <c r="F126" s="81"/>
      <c r="G126" s="81"/>
      <c r="H126" s="81"/>
      <c r="I126" s="81"/>
      <c r="J126" s="81"/>
      <c r="K126" s="81"/>
      <c r="L126" s="91"/>
    </row>
    <row r="127" spans="1:12">
      <c r="A127" s="179"/>
      <c r="B127" s="8">
        <f t="shared" si="1"/>
        <v>2104</v>
      </c>
      <c r="C127" s="9">
        <v>35</v>
      </c>
      <c r="D127" s="9">
        <v>36</v>
      </c>
      <c r="E127" s="9">
        <v>37</v>
      </c>
      <c r="F127" s="81"/>
      <c r="G127" s="81"/>
      <c r="H127" s="81"/>
      <c r="I127" s="81"/>
      <c r="J127" s="81"/>
      <c r="K127" s="81"/>
      <c r="L127" s="91"/>
    </row>
    <row r="128" spans="1:12">
      <c r="A128" s="179"/>
      <c r="B128" s="8">
        <f t="shared" si="1"/>
        <v>2105</v>
      </c>
      <c r="C128" s="9">
        <v>38</v>
      </c>
      <c r="D128" s="9">
        <v>39</v>
      </c>
      <c r="E128" s="9">
        <v>40</v>
      </c>
      <c r="F128" s="81"/>
      <c r="G128" s="81"/>
      <c r="H128" s="81"/>
      <c r="I128" s="81"/>
      <c r="J128" s="81"/>
      <c r="K128" s="81"/>
      <c r="L128" s="91"/>
    </row>
    <row r="129" spans="1:12">
      <c r="A129" s="180"/>
      <c r="B129" s="8">
        <f t="shared" si="1"/>
        <v>2106</v>
      </c>
      <c r="C129" s="9">
        <v>41</v>
      </c>
      <c r="D129" s="9">
        <v>42</v>
      </c>
      <c r="E129" s="9">
        <v>43</v>
      </c>
      <c r="F129" s="81"/>
      <c r="G129" s="81"/>
      <c r="H129" s="81"/>
      <c r="I129" s="81"/>
      <c r="J129" s="81"/>
      <c r="K129" s="81"/>
      <c r="L129" s="91"/>
    </row>
    <row r="130" spans="1:12">
      <c r="A130" s="178">
        <v>22</v>
      </c>
      <c r="B130" s="8">
        <f t="shared" si="1"/>
        <v>2201</v>
      </c>
      <c r="C130" s="9">
        <v>50</v>
      </c>
      <c r="D130" s="9">
        <v>51</v>
      </c>
      <c r="E130" s="9">
        <v>52</v>
      </c>
      <c r="F130" s="9">
        <v>49</v>
      </c>
      <c r="G130" s="9">
        <v>68</v>
      </c>
      <c r="H130" s="10">
        <v>69</v>
      </c>
      <c r="I130" s="9">
        <v>70</v>
      </c>
      <c r="J130" s="9">
        <v>71</v>
      </c>
      <c r="K130" s="9">
        <v>72</v>
      </c>
      <c r="L130" s="91"/>
    </row>
    <row r="131" spans="1:12">
      <c r="A131" s="179"/>
      <c r="B131" s="8">
        <f t="shared" si="1"/>
        <v>2202</v>
      </c>
      <c r="C131" s="9">
        <v>53</v>
      </c>
      <c r="D131" s="9">
        <v>54</v>
      </c>
      <c r="E131" s="9">
        <v>55</v>
      </c>
      <c r="F131" s="168"/>
      <c r="G131" s="168"/>
      <c r="H131" s="168"/>
      <c r="I131" s="168"/>
      <c r="J131" s="168"/>
      <c r="K131" s="168"/>
      <c r="L131" s="91"/>
    </row>
    <row r="132" spans="1:12">
      <c r="A132" s="179"/>
      <c r="B132" s="8">
        <f t="shared" si="1"/>
        <v>2203</v>
      </c>
      <c r="C132" s="9">
        <v>56</v>
      </c>
      <c r="D132" s="9">
        <v>57</v>
      </c>
      <c r="E132" s="9">
        <v>58</v>
      </c>
      <c r="F132" s="168"/>
      <c r="G132" s="168"/>
      <c r="H132" s="168"/>
      <c r="I132" s="168"/>
      <c r="J132" s="168"/>
      <c r="K132" s="168"/>
      <c r="L132" s="91"/>
    </row>
    <row r="133" spans="1:12">
      <c r="A133" s="179"/>
      <c r="B133" s="8">
        <f t="shared" ref="B133:B153" si="2">(INT((ROW()-4)/6)+1)*100 + MOD(ROW()-4,6)+1</f>
        <v>2204</v>
      </c>
      <c r="C133" s="9">
        <v>59</v>
      </c>
      <c r="D133" s="9">
        <v>60</v>
      </c>
      <c r="E133" s="9">
        <v>61</v>
      </c>
      <c r="F133" s="168"/>
      <c r="G133" s="168"/>
      <c r="H133" s="168"/>
      <c r="I133" s="168"/>
      <c r="J133" s="168"/>
      <c r="K133" s="168"/>
      <c r="L133" s="91"/>
    </row>
    <row r="134" spans="1:12">
      <c r="A134" s="179"/>
      <c r="B134" s="8">
        <f t="shared" si="2"/>
        <v>2205</v>
      </c>
      <c r="C134" s="9">
        <v>62</v>
      </c>
      <c r="D134" s="11">
        <v>63</v>
      </c>
      <c r="E134" s="9">
        <v>64</v>
      </c>
      <c r="F134" s="168"/>
      <c r="G134" s="168"/>
      <c r="H134" s="168"/>
      <c r="I134" s="168"/>
      <c r="J134" s="168"/>
      <c r="K134" s="168"/>
      <c r="L134" s="91"/>
    </row>
    <row r="135" spans="1:12">
      <c r="A135" s="180"/>
      <c r="B135" s="8">
        <f t="shared" si="2"/>
        <v>2206</v>
      </c>
      <c r="C135" s="9">
        <v>65</v>
      </c>
      <c r="D135" s="9">
        <v>66</v>
      </c>
      <c r="E135" s="9">
        <v>67</v>
      </c>
      <c r="F135" s="168"/>
      <c r="G135" s="168"/>
      <c r="H135" s="168"/>
      <c r="I135" s="168"/>
      <c r="J135" s="168"/>
      <c r="K135" s="168"/>
      <c r="L135" s="91"/>
    </row>
    <row r="136" spans="1:12">
      <c r="A136" s="178">
        <v>23</v>
      </c>
      <c r="B136" s="8">
        <f t="shared" si="2"/>
        <v>2301</v>
      </c>
      <c r="C136" s="9">
        <v>2</v>
      </c>
      <c r="D136" s="9">
        <v>3</v>
      </c>
      <c r="E136" s="9">
        <v>4</v>
      </c>
      <c r="F136" s="11">
        <v>1</v>
      </c>
      <c r="G136" s="11">
        <v>20</v>
      </c>
      <c r="H136" s="9">
        <v>21</v>
      </c>
      <c r="I136" s="9">
        <v>22</v>
      </c>
      <c r="J136" s="9">
        <v>23</v>
      </c>
      <c r="K136" s="9">
        <v>24</v>
      </c>
      <c r="L136" s="100" t="s">
        <v>22</v>
      </c>
    </row>
    <row r="137" spans="1:12">
      <c r="A137" s="179"/>
      <c r="B137" s="8">
        <f t="shared" si="2"/>
        <v>2302</v>
      </c>
      <c r="C137" s="9">
        <v>5</v>
      </c>
      <c r="D137" s="11">
        <v>6</v>
      </c>
      <c r="E137" s="10">
        <v>7</v>
      </c>
      <c r="F137" s="81"/>
      <c r="G137" s="81"/>
      <c r="H137" s="81"/>
      <c r="I137" s="81"/>
      <c r="J137" s="81"/>
      <c r="K137" s="81"/>
      <c r="L137" s="101"/>
    </row>
    <row r="138" spans="1:12">
      <c r="A138" s="179"/>
      <c r="B138" s="8">
        <f t="shared" si="2"/>
        <v>2303</v>
      </c>
      <c r="C138" s="9">
        <v>8</v>
      </c>
      <c r="D138" s="9">
        <v>9</v>
      </c>
      <c r="E138" s="9">
        <v>10</v>
      </c>
      <c r="F138" s="81"/>
      <c r="G138" s="81"/>
      <c r="H138" s="81"/>
      <c r="I138" s="81"/>
      <c r="J138" s="81"/>
      <c r="K138" s="81"/>
      <c r="L138" s="101"/>
    </row>
    <row r="139" spans="1:12">
      <c r="A139" s="179"/>
      <c r="B139" s="8">
        <f t="shared" si="2"/>
        <v>2304</v>
      </c>
      <c r="C139" s="9">
        <v>11</v>
      </c>
      <c r="D139" s="9">
        <v>12</v>
      </c>
      <c r="E139" s="9">
        <v>13</v>
      </c>
      <c r="F139" s="81"/>
      <c r="G139" s="81"/>
      <c r="H139" s="81"/>
      <c r="I139" s="81"/>
      <c r="J139" s="81"/>
      <c r="K139" s="81"/>
      <c r="L139" s="101"/>
    </row>
    <row r="140" spans="1:12">
      <c r="A140" s="179"/>
      <c r="B140" s="8">
        <f t="shared" si="2"/>
        <v>2305</v>
      </c>
      <c r="C140" s="9">
        <v>14</v>
      </c>
      <c r="D140" s="9">
        <v>15</v>
      </c>
      <c r="E140" s="9">
        <v>16</v>
      </c>
      <c r="F140" s="81"/>
      <c r="G140" s="81"/>
      <c r="H140" s="81"/>
      <c r="I140" s="81"/>
      <c r="J140" s="81"/>
      <c r="K140" s="81"/>
      <c r="L140" s="101"/>
    </row>
    <row r="141" spans="1:12">
      <c r="A141" s="180"/>
      <c r="B141" s="8">
        <f t="shared" si="2"/>
        <v>2306</v>
      </c>
      <c r="C141" s="9">
        <v>17</v>
      </c>
      <c r="D141" s="9">
        <v>18</v>
      </c>
      <c r="E141" s="9">
        <v>19</v>
      </c>
      <c r="F141" s="81"/>
      <c r="G141" s="81"/>
      <c r="H141" s="81"/>
      <c r="I141" s="81"/>
      <c r="J141" s="81"/>
      <c r="K141" s="81"/>
      <c r="L141" s="101"/>
    </row>
    <row r="142" spans="1:12">
      <c r="A142" s="178">
        <v>24</v>
      </c>
      <c r="B142" s="8">
        <f t="shared" si="2"/>
        <v>2401</v>
      </c>
      <c r="C142" s="10">
        <v>26</v>
      </c>
      <c r="D142" s="9">
        <v>27</v>
      </c>
      <c r="E142" s="9">
        <v>28</v>
      </c>
      <c r="F142" s="9">
        <v>25</v>
      </c>
      <c r="G142" s="9">
        <v>44</v>
      </c>
      <c r="H142" s="9">
        <v>45</v>
      </c>
      <c r="I142" s="9">
        <v>46</v>
      </c>
      <c r="J142" s="9">
        <v>47</v>
      </c>
      <c r="K142" s="9">
        <v>48</v>
      </c>
      <c r="L142" s="101"/>
    </row>
    <row r="143" spans="1:12">
      <c r="A143" s="179"/>
      <c r="B143" s="8">
        <f t="shared" si="2"/>
        <v>2402</v>
      </c>
      <c r="C143" s="9">
        <v>29</v>
      </c>
      <c r="D143" s="9">
        <v>30</v>
      </c>
      <c r="E143" s="9">
        <v>31</v>
      </c>
      <c r="F143" s="81"/>
      <c r="G143" s="81"/>
      <c r="H143" s="81"/>
      <c r="I143" s="81"/>
      <c r="J143" s="81"/>
      <c r="K143" s="81"/>
      <c r="L143" s="101"/>
    </row>
    <row r="144" spans="1:12">
      <c r="A144" s="179"/>
      <c r="B144" s="8">
        <f t="shared" si="2"/>
        <v>2403</v>
      </c>
      <c r="C144" s="9">
        <v>32</v>
      </c>
      <c r="D144" s="9">
        <v>33</v>
      </c>
      <c r="E144" s="9">
        <v>34</v>
      </c>
      <c r="F144" s="81"/>
      <c r="G144" s="81"/>
      <c r="H144" s="81"/>
      <c r="I144" s="81"/>
      <c r="J144" s="81"/>
      <c r="K144" s="81"/>
      <c r="L144" s="101"/>
    </row>
    <row r="145" spans="1:12">
      <c r="A145" s="179"/>
      <c r="B145" s="8">
        <f t="shared" si="2"/>
        <v>2404</v>
      </c>
      <c r="C145" s="9">
        <v>35</v>
      </c>
      <c r="D145" s="9">
        <v>36</v>
      </c>
      <c r="E145" s="9">
        <v>37</v>
      </c>
      <c r="F145" s="81"/>
      <c r="G145" s="81"/>
      <c r="H145" s="81"/>
      <c r="I145" s="81"/>
      <c r="J145" s="81"/>
      <c r="K145" s="81"/>
      <c r="L145" s="101"/>
    </row>
    <row r="146" spans="1:12">
      <c r="A146" s="179"/>
      <c r="B146" s="8">
        <f t="shared" si="2"/>
        <v>2405</v>
      </c>
      <c r="C146" s="9">
        <v>38</v>
      </c>
      <c r="D146" s="9">
        <v>39</v>
      </c>
      <c r="E146" s="9">
        <v>40</v>
      </c>
      <c r="F146" s="81"/>
      <c r="G146" s="81"/>
      <c r="H146" s="81"/>
      <c r="I146" s="81"/>
      <c r="J146" s="81"/>
      <c r="K146" s="81"/>
      <c r="L146" s="101"/>
    </row>
    <row r="147" spans="1:12">
      <c r="A147" s="180"/>
      <c r="B147" s="8">
        <f t="shared" si="2"/>
        <v>2406</v>
      </c>
      <c r="C147" s="9">
        <v>41</v>
      </c>
      <c r="D147" s="9">
        <v>42</v>
      </c>
      <c r="E147" s="9">
        <v>43</v>
      </c>
      <c r="F147" s="81"/>
      <c r="G147" s="81"/>
      <c r="H147" s="81"/>
      <c r="I147" s="81"/>
      <c r="J147" s="81"/>
      <c r="K147" s="81"/>
      <c r="L147" s="101"/>
    </row>
    <row r="148" spans="1:12">
      <c r="A148" s="178">
        <v>25</v>
      </c>
      <c r="B148" s="8">
        <f t="shared" si="2"/>
        <v>2501</v>
      </c>
      <c r="C148" s="9">
        <v>50</v>
      </c>
      <c r="D148" s="9">
        <v>51</v>
      </c>
      <c r="E148" s="9">
        <v>52</v>
      </c>
      <c r="F148" s="9">
        <v>49</v>
      </c>
      <c r="G148" s="9">
        <v>68</v>
      </c>
      <c r="H148" s="9">
        <v>69</v>
      </c>
      <c r="I148" s="9">
        <v>70</v>
      </c>
      <c r="J148" s="9">
        <v>71</v>
      </c>
      <c r="K148" s="9">
        <v>72</v>
      </c>
      <c r="L148" s="101"/>
    </row>
    <row r="149" spans="1:12">
      <c r="A149" s="179"/>
      <c r="B149" s="8">
        <f t="shared" si="2"/>
        <v>2502</v>
      </c>
      <c r="C149" s="9">
        <v>53</v>
      </c>
      <c r="D149" s="9">
        <v>54</v>
      </c>
      <c r="E149" s="9">
        <v>55</v>
      </c>
      <c r="F149" s="168"/>
      <c r="G149" s="168"/>
      <c r="H149" s="168"/>
      <c r="I149" s="168"/>
      <c r="J149" s="168"/>
      <c r="K149" s="168"/>
      <c r="L149" s="101"/>
    </row>
    <row r="150" spans="1:12">
      <c r="A150" s="179"/>
      <c r="B150" s="8">
        <f t="shared" si="2"/>
        <v>2503</v>
      </c>
      <c r="C150" s="9">
        <v>56</v>
      </c>
      <c r="D150" s="9">
        <v>57</v>
      </c>
      <c r="E150" s="9">
        <v>58</v>
      </c>
      <c r="F150" s="168"/>
      <c r="G150" s="168"/>
      <c r="H150" s="168"/>
      <c r="I150" s="168"/>
      <c r="J150" s="168"/>
      <c r="K150" s="168"/>
      <c r="L150" s="101"/>
    </row>
    <row r="151" spans="1:12">
      <c r="A151" s="179"/>
      <c r="B151" s="8">
        <f t="shared" si="2"/>
        <v>2504</v>
      </c>
      <c r="C151" s="9">
        <v>59</v>
      </c>
      <c r="D151" s="10">
        <v>60</v>
      </c>
      <c r="E151" s="9">
        <v>61</v>
      </c>
      <c r="F151" s="168"/>
      <c r="G151" s="168"/>
      <c r="H151" s="168"/>
      <c r="I151" s="168"/>
      <c r="J151" s="168"/>
      <c r="K151" s="168"/>
      <c r="L151" s="101"/>
    </row>
    <row r="152" spans="1:12">
      <c r="A152" s="179"/>
      <c r="B152" s="8">
        <f t="shared" si="2"/>
        <v>2505</v>
      </c>
      <c r="C152" s="9">
        <v>62</v>
      </c>
      <c r="D152" s="9">
        <v>63</v>
      </c>
      <c r="E152" s="9">
        <v>64</v>
      </c>
      <c r="F152" s="168"/>
      <c r="G152" s="168"/>
      <c r="H152" s="168"/>
      <c r="I152" s="168"/>
      <c r="J152" s="168"/>
      <c r="K152" s="168"/>
      <c r="L152" s="101"/>
    </row>
    <row r="153" spans="1:12">
      <c r="A153" s="180"/>
      <c r="B153" s="8">
        <f t="shared" si="2"/>
        <v>2506</v>
      </c>
      <c r="C153" s="9">
        <v>65</v>
      </c>
      <c r="D153" s="9">
        <v>66</v>
      </c>
      <c r="E153" s="9">
        <v>67</v>
      </c>
      <c r="F153" s="168"/>
      <c r="G153" s="168"/>
      <c r="H153" s="168"/>
      <c r="I153" s="168"/>
      <c r="J153" s="168"/>
      <c r="K153" s="168"/>
      <c r="L153" s="101"/>
    </row>
    <row r="154" spans="1:12">
      <c r="A154" s="178">
        <v>26</v>
      </c>
      <c r="B154" s="178" t="s">
        <v>29</v>
      </c>
      <c r="C154" s="9">
        <v>86</v>
      </c>
      <c r="D154" s="9">
        <v>87</v>
      </c>
      <c r="E154" s="9">
        <v>88</v>
      </c>
      <c r="F154" s="50">
        <v>89</v>
      </c>
      <c r="G154" s="7"/>
      <c r="H154" s="7"/>
      <c r="I154" s="50">
        <v>90</v>
      </c>
      <c r="J154" s="50">
        <v>91</v>
      </c>
      <c r="K154" s="50">
        <v>92</v>
      </c>
      <c r="L154" s="101"/>
    </row>
    <row r="155" spans="1:12">
      <c r="A155" s="179"/>
      <c r="B155" s="179"/>
      <c r="C155" s="19"/>
      <c r="D155" s="7"/>
      <c r="E155" s="7"/>
      <c r="F155" s="7"/>
      <c r="G155" s="7"/>
      <c r="H155" s="7"/>
      <c r="I155" s="7"/>
      <c r="J155" s="7"/>
      <c r="K155" s="50">
        <v>93</v>
      </c>
      <c r="L155" s="101"/>
    </row>
    <row r="156" spans="1:12">
      <c r="A156" s="180"/>
      <c r="B156" s="180"/>
      <c r="C156" s="7"/>
      <c r="D156" s="7"/>
      <c r="E156" s="7"/>
      <c r="F156" s="7"/>
      <c r="G156" s="7"/>
      <c r="H156" s="7"/>
      <c r="I156" s="7"/>
      <c r="J156" s="7"/>
      <c r="K156" s="50">
        <v>94</v>
      </c>
      <c r="L156" s="102"/>
    </row>
  </sheetData>
  <mergeCells count="81">
    <mergeCell ref="A136:A141"/>
    <mergeCell ref="L136:L156"/>
    <mergeCell ref="F137:K141"/>
    <mergeCell ref="A142:A147"/>
    <mergeCell ref="F143:K147"/>
    <mergeCell ref="A148:A153"/>
    <mergeCell ref="F149:K153"/>
    <mergeCell ref="A154:A156"/>
    <mergeCell ref="B154:B156"/>
    <mergeCell ref="A118:A123"/>
    <mergeCell ref="L118:L135"/>
    <mergeCell ref="F119:K123"/>
    <mergeCell ref="A124:A129"/>
    <mergeCell ref="F125:K129"/>
    <mergeCell ref="A130:A135"/>
    <mergeCell ref="F131:K135"/>
    <mergeCell ref="A100:A105"/>
    <mergeCell ref="L100:L117"/>
    <mergeCell ref="F101:K105"/>
    <mergeCell ref="A106:A111"/>
    <mergeCell ref="F107:K111"/>
    <mergeCell ref="A112:A117"/>
    <mergeCell ref="F113:K117"/>
    <mergeCell ref="A82:A87"/>
    <mergeCell ref="L82:L99"/>
    <mergeCell ref="F83:K87"/>
    <mergeCell ref="A88:A93"/>
    <mergeCell ref="F89:K93"/>
    <mergeCell ref="A94:A99"/>
    <mergeCell ref="F95:K99"/>
    <mergeCell ref="A64:A69"/>
    <mergeCell ref="L64:L81"/>
    <mergeCell ref="F65:K69"/>
    <mergeCell ref="A70:A75"/>
    <mergeCell ref="F71:K75"/>
    <mergeCell ref="A76:A81"/>
    <mergeCell ref="F77:K81"/>
    <mergeCell ref="A46:A51"/>
    <mergeCell ref="L46:L63"/>
    <mergeCell ref="F47:K51"/>
    <mergeCell ref="A52:A57"/>
    <mergeCell ref="F53:K57"/>
    <mergeCell ref="A58:A63"/>
    <mergeCell ref="F59:K63"/>
    <mergeCell ref="A28:A33"/>
    <mergeCell ref="L28:L45"/>
    <mergeCell ref="F29:K33"/>
    <mergeCell ref="S29:S32"/>
    <mergeCell ref="A34:A39"/>
    <mergeCell ref="S34:S37"/>
    <mergeCell ref="F35:K39"/>
    <mergeCell ref="S39:S42"/>
    <mergeCell ref="A40:A45"/>
    <mergeCell ref="F41:K45"/>
    <mergeCell ref="O3:P3"/>
    <mergeCell ref="A4:A9"/>
    <mergeCell ref="L4:L27"/>
    <mergeCell ref="N4:N7"/>
    <mergeCell ref="S14:S17"/>
    <mergeCell ref="A16:A21"/>
    <mergeCell ref="F17:K21"/>
    <mergeCell ref="S19:S22"/>
    <mergeCell ref="A22:A27"/>
    <mergeCell ref="F23:K27"/>
    <mergeCell ref="S24:S27"/>
    <mergeCell ref="S4:S7"/>
    <mergeCell ref="F5:K9"/>
    <mergeCell ref="S9:S12"/>
    <mergeCell ref="A10:A15"/>
    <mergeCell ref="F11:K15"/>
    <mergeCell ref="A1:L1"/>
    <mergeCell ref="A2:A3"/>
    <mergeCell ref="B2:B3"/>
    <mergeCell ref="C2:E3"/>
    <mergeCell ref="F2:F3"/>
    <mergeCell ref="G2:G3"/>
    <mergeCell ref="H2:H3"/>
    <mergeCell ref="I2:I3"/>
    <mergeCell ref="J2:J3"/>
    <mergeCell ref="K2:K3"/>
    <mergeCell ref="L2:L3"/>
  </mergeCells>
  <conditionalFormatting sqref="C4:F5 C6:E15 C16:F17 C18:E27 G4:K4 G16:K16 C28:F29 C30:E39 C40:F41 C42:E45 G28:K28 G40:K40 C46:F47 C48:E57 C58:F59 C60:E63 G46:K46 G58:K58 C64:F65 C66:E75 C76:F77 C78:E81 G64:K64 G76:K76 C82:F83 C84:E93 C94:F95 C96:E99 G82:K82 G94:K94 C100:F101 C102:E111 C112:F113 C114:E117 G100:K100 G112:K112">
    <cfRule type="cellIs" dxfId="135" priority="11" operator="equal">
      <formula>"Улаан"</formula>
    </cfRule>
  </conditionalFormatting>
  <conditionalFormatting sqref="F10:F11 G10:K10">
    <cfRule type="cellIs" dxfId="134" priority="10" operator="equal">
      <formula>"Улаан"</formula>
    </cfRule>
  </conditionalFormatting>
  <conditionalFormatting sqref="F34:F35 G34:K34">
    <cfRule type="cellIs" dxfId="133" priority="9" operator="equal">
      <formula>"Улаан"</formula>
    </cfRule>
  </conditionalFormatting>
  <conditionalFormatting sqref="F52:F53 G52:K52">
    <cfRule type="cellIs" dxfId="132" priority="8" operator="equal">
      <formula>"Улаан"</formula>
    </cfRule>
  </conditionalFormatting>
  <conditionalFormatting sqref="F70:F71 G70:K70">
    <cfRule type="cellIs" dxfId="131" priority="7" operator="equal">
      <formula>"Улаан"</formula>
    </cfRule>
  </conditionalFormatting>
  <conditionalFormatting sqref="F88:F89 G88:K88">
    <cfRule type="cellIs" dxfId="130" priority="6" operator="equal">
      <formula>"Улаан"</formula>
    </cfRule>
  </conditionalFormatting>
  <conditionalFormatting sqref="F106:F107 G106:K106">
    <cfRule type="cellIs" dxfId="129" priority="5" operator="equal">
      <formula>"Улаан"</formula>
    </cfRule>
  </conditionalFormatting>
  <conditionalFormatting sqref="C118:F119 C120:E129 C130:F131 C132:E135 G118:K118 G130:K130">
    <cfRule type="cellIs" dxfId="128" priority="4" operator="equal">
      <formula>"Улаан"</formula>
    </cfRule>
  </conditionalFormatting>
  <conditionalFormatting sqref="F124:F125 G124:K124">
    <cfRule type="cellIs" dxfId="127" priority="3" operator="equal">
      <formula>"Улаан"</formula>
    </cfRule>
  </conditionalFormatting>
  <conditionalFormatting sqref="C136:F137 C138:E147 C148:F149 G136:K136 G148:K148 C150:E154 C155">
    <cfRule type="cellIs" dxfId="126" priority="2" operator="equal">
      <formula>"Улаан"</formula>
    </cfRule>
  </conditionalFormatting>
  <conditionalFormatting sqref="F142:F143 G142:K142">
    <cfRule type="cellIs" dxfId="125" priority="1" operator="equal">
      <formula>"Улаан"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4A84-6B45-4896-9D70-35DEB0DB2046}">
  <dimension ref="A1"/>
  <sheetViews>
    <sheetView workbookViewId="0">
      <selection activeCell="K21" sqref="K21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27D16-9A3D-4633-9F56-678FB7FA2C1D}">
  <sheetPr codeName="Sheet1"/>
  <dimension ref="A1:AK106"/>
  <sheetViews>
    <sheetView topLeftCell="C1" zoomScale="82" workbookViewId="0">
      <selection activeCell="N8" sqref="N8"/>
    </sheetView>
  </sheetViews>
  <sheetFormatPr defaultRowHeight="15"/>
  <cols>
    <col min="3" max="6" width="11.28515625" customWidth="1"/>
    <col min="7" max="7" width="10.85546875" customWidth="1"/>
    <col min="9" max="9" width="9.28515625" customWidth="1"/>
    <col min="10" max="10" width="10.85546875" customWidth="1"/>
    <col min="11" max="11" width="9.140625" customWidth="1"/>
    <col min="13" max="13" width="4.85546875" customWidth="1"/>
    <col min="14" max="14" width="14.5703125" customWidth="1"/>
    <col min="15" max="15" width="14.28515625" style="6" bestFit="1" customWidth="1"/>
    <col min="16" max="17" width="12.28515625" customWidth="1"/>
    <col min="18" max="22" width="14.42578125" customWidth="1"/>
    <col min="23" max="23" width="15.5703125" customWidth="1"/>
    <col min="24" max="25" width="12" customWidth="1"/>
    <col min="27" max="27" width="6.7109375" bestFit="1" customWidth="1"/>
    <col min="28" max="28" width="14.7109375" bestFit="1" customWidth="1"/>
    <col min="29" max="29" width="15.5703125" customWidth="1"/>
    <col min="30" max="31" width="12" customWidth="1"/>
    <col min="33" max="33" width="6.7109375" bestFit="1" customWidth="1"/>
    <col min="34" max="34" width="14.7109375" bestFit="1" customWidth="1"/>
    <col min="35" max="35" width="15.5703125" customWidth="1"/>
    <col min="36" max="36" width="12" customWidth="1"/>
    <col min="38" max="38" width="3" bestFit="1" customWidth="1"/>
    <col min="39" max="42" width="14.85546875" bestFit="1" customWidth="1"/>
    <col min="43" max="48" width="16.140625" bestFit="1" customWidth="1"/>
    <col min="49" max="49" width="14.85546875" bestFit="1" customWidth="1"/>
  </cols>
  <sheetData>
    <row r="1" spans="1:37" ht="14.45" customHeight="1">
      <c r="A1" s="77">
        <v>218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  <c r="V1" s="3"/>
      <c r="W1" s="2"/>
      <c r="X1" s="3"/>
      <c r="Y1" s="3"/>
      <c r="Z1" s="3"/>
      <c r="AA1" s="3"/>
      <c r="AB1" s="3"/>
      <c r="AC1" s="2"/>
      <c r="AD1" s="3"/>
      <c r="AE1" s="3"/>
      <c r="AF1" s="3"/>
      <c r="AG1" s="3"/>
      <c r="AH1" s="3"/>
      <c r="AI1" s="2"/>
    </row>
    <row r="2" spans="1:37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  <c r="V2" s="2"/>
      <c r="W2" s="2"/>
      <c r="X2" s="2"/>
      <c r="Z2" s="2"/>
      <c r="AA2" s="2"/>
      <c r="AB2" s="2"/>
      <c r="AC2" s="2"/>
      <c r="AD2" s="2"/>
      <c r="AF2" s="2"/>
      <c r="AG2" s="2"/>
      <c r="AH2" s="2"/>
      <c r="AI2" s="2"/>
      <c r="AK2" s="2"/>
    </row>
    <row r="3" spans="1:37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  <c r="V3" s="2"/>
      <c r="W3" s="2"/>
      <c r="X3" s="2"/>
      <c r="Y3" s="2"/>
      <c r="Z3" s="2"/>
      <c r="AB3" s="2"/>
      <c r="AC3" s="2"/>
      <c r="AD3" s="2"/>
      <c r="AE3" s="2"/>
      <c r="AG3" s="2"/>
    </row>
    <row r="4" spans="1:37">
      <c r="A4" s="98">
        <v>1</v>
      </c>
      <c r="B4" s="8" t="str">
        <f>INT((ROW()-4)/4)+1 &amp; TEXT(MOD(ROW()-4,4)+1,"00")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17</v>
      </c>
      <c r="H4" s="9">
        <v>18</v>
      </c>
      <c r="I4" s="9">
        <v>19</v>
      </c>
      <c r="J4" s="9">
        <v>20</v>
      </c>
      <c r="K4" s="9">
        <v>21</v>
      </c>
      <c r="L4" s="91" t="s">
        <v>9</v>
      </c>
      <c r="N4" s="92">
        <v>46000</v>
      </c>
      <c r="O4" s="12" t="s">
        <v>10</v>
      </c>
      <c r="P4" s="13">
        <f>SUM(P5:P7)</f>
        <v>534</v>
      </c>
      <c r="Q4" s="73">
        <v>1</v>
      </c>
      <c r="S4" s="92" t="s">
        <v>9</v>
      </c>
      <c r="T4" s="12" t="s">
        <v>10</v>
      </c>
      <c r="U4" s="13">
        <f>SUM(U5:U7)</f>
        <v>63</v>
      </c>
      <c r="V4" s="73">
        <v>1</v>
      </c>
      <c r="X4" s="1"/>
      <c r="Y4" s="1"/>
    </row>
    <row r="5" spans="1:37">
      <c r="A5" s="106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9">
        <v>7</v>
      </c>
      <c r="F5" s="9">
        <v>8</v>
      </c>
      <c r="G5" s="82"/>
      <c r="H5" s="83"/>
      <c r="I5" s="83"/>
      <c r="J5" s="83"/>
      <c r="K5" s="84"/>
      <c r="L5" s="91"/>
      <c r="N5" s="93"/>
      <c r="O5" s="14" t="s">
        <v>11</v>
      </c>
      <c r="P5" s="13" cm="1">
        <f t="array" ref="P5">CountByColor(C4:K106, O5)</f>
        <v>67</v>
      </c>
      <c r="Q5" s="13"/>
      <c r="S5" s="93"/>
      <c r="T5" s="14" t="s">
        <v>11</v>
      </c>
      <c r="U5" s="13" cm="1">
        <f t="array" ref="U5">CountByColor(C4:K15, T5)</f>
        <v>8</v>
      </c>
      <c r="V5" s="74">
        <v>0.127</v>
      </c>
      <c r="X5" s="1"/>
      <c r="Y5" s="1"/>
    </row>
    <row r="6" spans="1:37">
      <c r="A6" s="106"/>
      <c r="B6" s="8" t="str">
        <f t="shared" si="0"/>
        <v>103</v>
      </c>
      <c r="C6" s="9">
        <v>9</v>
      </c>
      <c r="D6" s="9">
        <v>10</v>
      </c>
      <c r="E6" s="11">
        <v>11</v>
      </c>
      <c r="F6" s="9">
        <v>12</v>
      </c>
      <c r="G6" s="107"/>
      <c r="H6" s="108"/>
      <c r="I6" s="108"/>
      <c r="J6" s="108"/>
      <c r="K6" s="109"/>
      <c r="L6" s="91"/>
      <c r="N6" s="93"/>
      <c r="O6" s="15" t="s">
        <v>12</v>
      </c>
      <c r="P6" s="13" cm="1">
        <f t="array" ref="P6">CountByColor(C4:K106, O6)</f>
        <v>12</v>
      </c>
      <c r="Q6" s="13"/>
      <c r="S6" s="93"/>
      <c r="T6" s="15" t="s">
        <v>12</v>
      </c>
      <c r="U6" s="13" cm="1">
        <f t="array" ref="U6">CountByColor(C4:K15, T6)</f>
        <v>0</v>
      </c>
      <c r="V6" s="73">
        <v>0</v>
      </c>
      <c r="X6" s="1"/>
      <c r="Y6" s="1"/>
      <c r="AE6" s="2"/>
    </row>
    <row r="7" spans="1:37">
      <c r="A7" s="99"/>
      <c r="B7" s="8" t="str">
        <f t="shared" si="0"/>
        <v>104</v>
      </c>
      <c r="C7" s="9">
        <v>13</v>
      </c>
      <c r="D7" s="9">
        <v>14</v>
      </c>
      <c r="E7" s="11">
        <v>15</v>
      </c>
      <c r="F7" s="9">
        <v>16</v>
      </c>
      <c r="G7" s="85"/>
      <c r="H7" s="86"/>
      <c r="I7" s="86"/>
      <c r="J7" s="86"/>
      <c r="K7" s="87"/>
      <c r="L7" s="91"/>
      <c r="N7" s="94"/>
      <c r="O7" s="16" t="s">
        <v>13</v>
      </c>
      <c r="P7" s="13" cm="1">
        <f t="array" ref="P7">CountByColor(C4:K106, O7)</f>
        <v>455</v>
      </c>
      <c r="Q7" s="13"/>
      <c r="S7" s="94"/>
      <c r="T7" s="16" t="s">
        <v>13</v>
      </c>
      <c r="U7" s="13" cm="1">
        <f t="array" ref="U7">CountByColor(C4:K15, T7)</f>
        <v>55</v>
      </c>
      <c r="V7" s="74">
        <v>0.873</v>
      </c>
      <c r="X7" s="1"/>
      <c r="Y7" s="1"/>
    </row>
    <row r="8" spans="1:37">
      <c r="A8" s="98">
        <v>2</v>
      </c>
      <c r="B8" s="8" t="str">
        <f t="shared" si="0"/>
        <v>201</v>
      </c>
      <c r="C8" s="9">
        <v>22</v>
      </c>
      <c r="D8" s="9">
        <v>23</v>
      </c>
      <c r="E8" s="9">
        <v>24</v>
      </c>
      <c r="F8" s="9">
        <v>25</v>
      </c>
      <c r="G8" s="9">
        <v>38</v>
      </c>
      <c r="H8" s="9">
        <v>39</v>
      </c>
      <c r="I8" s="9">
        <v>40</v>
      </c>
      <c r="J8" s="11">
        <v>41</v>
      </c>
      <c r="K8" s="9">
        <v>42</v>
      </c>
      <c r="L8" s="91"/>
      <c r="N8" s="21"/>
      <c r="O8"/>
      <c r="T8" s="1"/>
      <c r="U8" s="1"/>
      <c r="Z8" s="1"/>
      <c r="AA8" s="1"/>
    </row>
    <row r="9" spans="1:37" ht="15" customHeight="1">
      <c r="A9" s="106"/>
      <c r="B9" s="8" t="str">
        <f t="shared" si="0"/>
        <v>202</v>
      </c>
      <c r="C9" s="9">
        <v>26</v>
      </c>
      <c r="D9" s="9">
        <v>27</v>
      </c>
      <c r="E9" s="9">
        <v>28</v>
      </c>
      <c r="F9" s="9">
        <v>29</v>
      </c>
      <c r="G9" s="82"/>
      <c r="H9" s="83"/>
      <c r="I9" s="83"/>
      <c r="J9" s="83"/>
      <c r="K9" s="84"/>
      <c r="L9" s="91"/>
      <c r="O9"/>
      <c r="S9" s="92" t="s">
        <v>14</v>
      </c>
      <c r="T9" s="12" t="s">
        <v>10</v>
      </c>
      <c r="U9" s="13">
        <f>SUM(U10:U12)</f>
        <v>63</v>
      </c>
      <c r="V9" s="73">
        <v>1</v>
      </c>
      <c r="X9" s="1"/>
      <c r="Y9" s="1"/>
      <c r="AD9" s="1"/>
      <c r="AE9" s="1"/>
    </row>
    <row r="10" spans="1:37">
      <c r="A10" s="106"/>
      <c r="B10" s="8" t="str">
        <f t="shared" si="0"/>
        <v>203</v>
      </c>
      <c r="C10" s="9">
        <v>30</v>
      </c>
      <c r="D10" s="9">
        <v>31</v>
      </c>
      <c r="E10" s="9">
        <v>32</v>
      </c>
      <c r="F10" s="9">
        <v>33</v>
      </c>
      <c r="G10" s="107"/>
      <c r="H10" s="108"/>
      <c r="I10" s="108"/>
      <c r="J10" s="108"/>
      <c r="K10" s="109"/>
      <c r="L10" s="91"/>
      <c r="O10"/>
      <c r="S10" s="93"/>
      <c r="T10" s="14" t="s">
        <v>11</v>
      </c>
      <c r="U10" s="13" cm="1">
        <f t="array" ref="U10">CountByColor(C16:K27, T10)</f>
        <v>3</v>
      </c>
      <c r="V10" s="74">
        <v>4.7600000000000003E-2</v>
      </c>
      <c r="X10" s="1"/>
      <c r="Y10" s="1"/>
    </row>
    <row r="11" spans="1:37">
      <c r="A11" s="99"/>
      <c r="B11" s="8" t="str">
        <f t="shared" si="0"/>
        <v>204</v>
      </c>
      <c r="C11" s="11">
        <v>34</v>
      </c>
      <c r="D11" s="11">
        <v>35</v>
      </c>
      <c r="E11" s="9">
        <v>36</v>
      </c>
      <c r="F11" s="9">
        <v>37</v>
      </c>
      <c r="G11" s="85"/>
      <c r="H11" s="86"/>
      <c r="I11" s="86"/>
      <c r="J11" s="86"/>
      <c r="K11" s="87"/>
      <c r="L11" s="91"/>
      <c r="O11"/>
      <c r="S11" s="93"/>
      <c r="T11" s="15" t="s">
        <v>12</v>
      </c>
      <c r="U11" s="13" cm="1">
        <f t="array" ref="U11">CountByColor(C16:K27, T11)</f>
        <v>2</v>
      </c>
      <c r="V11" s="74">
        <v>3.1699999999999999E-2</v>
      </c>
      <c r="X11" s="1"/>
      <c r="Y11" s="1"/>
    </row>
    <row r="12" spans="1:37">
      <c r="A12" s="98">
        <v>3</v>
      </c>
      <c r="B12" s="8" t="str">
        <f t="shared" si="0"/>
        <v>301</v>
      </c>
      <c r="C12" s="9">
        <v>43</v>
      </c>
      <c r="D12" s="9">
        <v>44</v>
      </c>
      <c r="E12" s="9">
        <v>45</v>
      </c>
      <c r="F12" s="9">
        <v>46</v>
      </c>
      <c r="G12" s="9">
        <v>59</v>
      </c>
      <c r="H12" s="9">
        <v>60</v>
      </c>
      <c r="I12" s="9">
        <v>61</v>
      </c>
      <c r="J12" s="9">
        <v>62</v>
      </c>
      <c r="K12" s="9">
        <v>63</v>
      </c>
      <c r="L12" s="91"/>
      <c r="O12"/>
      <c r="S12" s="94"/>
      <c r="T12" s="16" t="s">
        <v>13</v>
      </c>
      <c r="U12" s="13" cm="1">
        <f t="array" ref="U12">CountByColor(C16:K27, T12)</f>
        <v>58</v>
      </c>
      <c r="V12" s="74">
        <v>0.92059999999999997</v>
      </c>
      <c r="X12" s="1"/>
      <c r="Y12" s="1"/>
    </row>
    <row r="13" spans="1:37">
      <c r="A13" s="106"/>
      <c r="B13" s="8" t="str">
        <f t="shared" si="0"/>
        <v>302</v>
      </c>
      <c r="C13" s="9">
        <v>47</v>
      </c>
      <c r="D13" s="9">
        <v>48</v>
      </c>
      <c r="E13" s="11">
        <v>49</v>
      </c>
      <c r="F13" s="11">
        <v>50</v>
      </c>
      <c r="G13" s="82"/>
      <c r="H13" s="83"/>
      <c r="I13" s="83"/>
      <c r="J13" s="83"/>
      <c r="K13" s="84"/>
      <c r="L13" s="91"/>
      <c r="O13"/>
      <c r="S13" s="1"/>
      <c r="X13" s="1"/>
      <c r="Y13" s="1"/>
    </row>
    <row r="14" spans="1:37">
      <c r="A14" s="106"/>
      <c r="B14" s="8" t="str">
        <f t="shared" si="0"/>
        <v>303</v>
      </c>
      <c r="C14" s="9">
        <v>51</v>
      </c>
      <c r="D14" s="9">
        <v>52</v>
      </c>
      <c r="E14" s="9">
        <v>53</v>
      </c>
      <c r="F14" s="9">
        <v>54</v>
      </c>
      <c r="G14" s="107"/>
      <c r="H14" s="108"/>
      <c r="I14" s="108"/>
      <c r="J14" s="108"/>
      <c r="K14" s="109"/>
      <c r="L14" s="91"/>
      <c r="O14"/>
      <c r="S14" s="92" t="s">
        <v>15</v>
      </c>
      <c r="T14" s="12" t="s">
        <v>10</v>
      </c>
      <c r="U14" s="13">
        <f>SUM(U15:U17)</f>
        <v>63</v>
      </c>
      <c r="V14" s="73">
        <v>1</v>
      </c>
      <c r="X14" s="1"/>
      <c r="Y14" s="1"/>
    </row>
    <row r="15" spans="1:37">
      <c r="A15" s="99"/>
      <c r="B15" s="8" t="str">
        <f t="shared" si="0"/>
        <v>304</v>
      </c>
      <c r="C15" s="9">
        <v>55</v>
      </c>
      <c r="D15" s="9">
        <v>56</v>
      </c>
      <c r="E15" s="11">
        <v>57</v>
      </c>
      <c r="F15" s="9">
        <v>58</v>
      </c>
      <c r="G15" s="85"/>
      <c r="H15" s="86"/>
      <c r="I15" s="86"/>
      <c r="J15" s="86"/>
      <c r="K15" s="87"/>
      <c r="L15" s="91"/>
      <c r="O15"/>
      <c r="S15" s="93"/>
      <c r="T15" s="14" t="s">
        <v>11</v>
      </c>
      <c r="U15" s="13" cm="1">
        <f t="array" ref="U15">CountByColor(C28:K39, T15)</f>
        <v>2</v>
      </c>
      <c r="V15" s="74">
        <v>3.1699999999999999E-2</v>
      </c>
      <c r="X15" s="1"/>
      <c r="Y15" s="1"/>
    </row>
    <row r="16" spans="1:37">
      <c r="A16" s="98">
        <v>4</v>
      </c>
      <c r="B16" s="8" t="str">
        <f t="shared" si="0"/>
        <v>401</v>
      </c>
      <c r="C16" s="10">
        <v>1</v>
      </c>
      <c r="D16" s="9">
        <v>2</v>
      </c>
      <c r="E16" s="9">
        <v>3</v>
      </c>
      <c r="F16" s="9">
        <v>4</v>
      </c>
      <c r="G16" s="9">
        <v>17</v>
      </c>
      <c r="H16" s="9">
        <v>18</v>
      </c>
      <c r="I16" s="9">
        <v>19</v>
      </c>
      <c r="J16" s="9">
        <v>20</v>
      </c>
      <c r="K16" s="9">
        <v>21</v>
      </c>
      <c r="L16" s="91" t="s">
        <v>14</v>
      </c>
      <c r="O16"/>
      <c r="S16" s="93"/>
      <c r="T16" s="15" t="s">
        <v>12</v>
      </c>
      <c r="U16" s="13" cm="1">
        <f t="array" ref="U16">CountByColor(C28:K39, T16)</f>
        <v>0</v>
      </c>
      <c r="V16" s="73">
        <v>0</v>
      </c>
      <c r="X16" s="1"/>
      <c r="Y16" s="1"/>
    </row>
    <row r="17" spans="1:31">
      <c r="A17" s="106"/>
      <c r="B17" s="8" t="str">
        <f t="shared" si="0"/>
        <v>402</v>
      </c>
      <c r="C17" s="9">
        <v>5</v>
      </c>
      <c r="D17" s="9">
        <v>6</v>
      </c>
      <c r="E17" s="9">
        <v>7</v>
      </c>
      <c r="F17" s="9">
        <v>8</v>
      </c>
      <c r="G17" s="82"/>
      <c r="H17" s="83"/>
      <c r="I17" s="83"/>
      <c r="J17" s="83"/>
      <c r="K17" s="84"/>
      <c r="L17" s="91"/>
      <c r="O17"/>
      <c r="S17" s="94"/>
      <c r="T17" s="16" t="s">
        <v>13</v>
      </c>
      <c r="U17" s="13" cm="1">
        <f t="array" ref="U17">CountByColor(C28:K39, T17)</f>
        <v>61</v>
      </c>
      <c r="V17" s="74">
        <v>0.96830000000000005</v>
      </c>
      <c r="X17" s="1"/>
      <c r="Y17" s="1"/>
    </row>
    <row r="18" spans="1:31">
      <c r="A18" s="106"/>
      <c r="B18" s="8" t="str">
        <f t="shared" si="0"/>
        <v>403</v>
      </c>
      <c r="C18" s="9">
        <v>9</v>
      </c>
      <c r="D18" s="9">
        <v>10</v>
      </c>
      <c r="E18" s="11">
        <v>11</v>
      </c>
      <c r="F18" s="9">
        <v>12</v>
      </c>
      <c r="G18" s="107"/>
      <c r="H18" s="108"/>
      <c r="I18" s="108"/>
      <c r="J18" s="108"/>
      <c r="K18" s="109"/>
      <c r="L18" s="91"/>
      <c r="O18"/>
      <c r="S18" s="1"/>
      <c r="X18" s="1"/>
      <c r="Y18" s="1"/>
      <c r="AE18" s="2"/>
    </row>
    <row r="19" spans="1:31">
      <c r="A19" s="99"/>
      <c r="B19" s="8" t="str">
        <f t="shared" si="0"/>
        <v>404</v>
      </c>
      <c r="C19" s="9">
        <v>13</v>
      </c>
      <c r="D19" s="11">
        <v>14</v>
      </c>
      <c r="E19" s="11">
        <v>15</v>
      </c>
      <c r="F19" s="9">
        <v>16</v>
      </c>
      <c r="G19" s="85"/>
      <c r="H19" s="86"/>
      <c r="I19" s="86"/>
      <c r="J19" s="86"/>
      <c r="K19" s="87"/>
      <c r="L19" s="91"/>
      <c r="O19"/>
      <c r="S19" s="92" t="s">
        <v>16</v>
      </c>
      <c r="T19" s="12" t="s">
        <v>10</v>
      </c>
      <c r="U19" s="13">
        <f>SUM(U20:U22)</f>
        <v>63</v>
      </c>
      <c r="V19" s="73">
        <v>1</v>
      </c>
      <c r="X19" s="1"/>
      <c r="Y19" s="1"/>
    </row>
    <row r="20" spans="1:31">
      <c r="A20" s="98">
        <v>5</v>
      </c>
      <c r="B20" s="8" t="str">
        <f t="shared" si="0"/>
        <v>501</v>
      </c>
      <c r="C20" s="9">
        <v>22</v>
      </c>
      <c r="D20" s="9">
        <v>23</v>
      </c>
      <c r="E20" s="9">
        <v>24</v>
      </c>
      <c r="F20" s="9">
        <v>25</v>
      </c>
      <c r="G20" s="9">
        <v>38</v>
      </c>
      <c r="H20" s="9">
        <v>39</v>
      </c>
      <c r="I20" s="9">
        <v>40</v>
      </c>
      <c r="J20" s="9">
        <v>41</v>
      </c>
      <c r="K20" s="9">
        <v>42</v>
      </c>
      <c r="L20" s="91"/>
      <c r="O20"/>
      <c r="S20" s="93"/>
      <c r="T20" s="14" t="s">
        <v>11</v>
      </c>
      <c r="U20" s="13" cm="1">
        <f t="array" ref="U20">CountByColor(C40:K51, T20)</f>
        <v>5</v>
      </c>
      <c r="V20" s="74">
        <v>7.9399999999999998E-2</v>
      </c>
      <c r="X20" s="1"/>
      <c r="Y20" s="1"/>
    </row>
    <row r="21" spans="1:31">
      <c r="A21" s="106"/>
      <c r="B21" s="8" t="str">
        <f t="shared" si="0"/>
        <v>502</v>
      </c>
      <c r="C21" s="9">
        <v>26</v>
      </c>
      <c r="D21" s="9">
        <v>27</v>
      </c>
      <c r="E21" s="9">
        <v>28</v>
      </c>
      <c r="F21" s="9">
        <v>29</v>
      </c>
      <c r="G21" s="82"/>
      <c r="H21" s="83"/>
      <c r="I21" s="83"/>
      <c r="J21" s="83"/>
      <c r="K21" s="84"/>
      <c r="L21" s="91"/>
      <c r="O21"/>
      <c r="R21" s="1"/>
      <c r="S21" s="93"/>
      <c r="T21" s="15" t="s">
        <v>12</v>
      </c>
      <c r="U21" s="13" cm="1">
        <f t="array" ref="U21">CountByColor(C40:K51, T21)</f>
        <v>1</v>
      </c>
      <c r="V21" s="74">
        <v>1.5900000000000001E-2</v>
      </c>
      <c r="W21" s="1"/>
      <c r="X21" s="1"/>
    </row>
    <row r="22" spans="1:31">
      <c r="A22" s="106"/>
      <c r="B22" s="8" t="str">
        <f t="shared" si="0"/>
        <v>503</v>
      </c>
      <c r="C22" s="9">
        <v>30</v>
      </c>
      <c r="D22" s="9">
        <v>31</v>
      </c>
      <c r="E22" s="9">
        <v>32</v>
      </c>
      <c r="F22" s="9">
        <v>33</v>
      </c>
      <c r="G22" s="107"/>
      <c r="H22" s="108"/>
      <c r="I22" s="108"/>
      <c r="J22" s="108"/>
      <c r="K22" s="109"/>
      <c r="L22" s="91"/>
      <c r="O22"/>
      <c r="S22" s="94"/>
      <c r="T22" s="16" t="s">
        <v>13</v>
      </c>
      <c r="U22" s="13" cm="1">
        <f t="array" ref="U22">CountByColor(C40:K51, T22)</f>
        <v>57</v>
      </c>
      <c r="V22" s="74">
        <v>0.90480000000000005</v>
      </c>
      <c r="X22" s="1"/>
      <c r="Y22" s="1"/>
    </row>
    <row r="23" spans="1:31">
      <c r="A23" s="99"/>
      <c r="B23" s="8" t="str">
        <f t="shared" si="0"/>
        <v>504</v>
      </c>
      <c r="C23" s="9">
        <v>34</v>
      </c>
      <c r="D23" s="9">
        <v>35</v>
      </c>
      <c r="E23" s="9">
        <v>36</v>
      </c>
      <c r="F23" s="9">
        <v>37</v>
      </c>
      <c r="G23" s="85"/>
      <c r="H23" s="86"/>
      <c r="I23" s="86"/>
      <c r="J23" s="86"/>
      <c r="K23" s="87"/>
      <c r="L23" s="91"/>
      <c r="O23"/>
      <c r="S23" s="1"/>
      <c r="X23" s="1"/>
      <c r="Y23" s="1"/>
    </row>
    <row r="24" spans="1:31">
      <c r="A24" s="98">
        <v>6</v>
      </c>
      <c r="B24" s="8" t="str">
        <f t="shared" si="0"/>
        <v>601</v>
      </c>
      <c r="C24" s="9">
        <v>43</v>
      </c>
      <c r="D24" s="9">
        <v>44</v>
      </c>
      <c r="E24" s="9">
        <v>45</v>
      </c>
      <c r="F24" s="9">
        <v>46</v>
      </c>
      <c r="G24" s="9">
        <v>59</v>
      </c>
      <c r="H24" s="9">
        <v>60</v>
      </c>
      <c r="I24" s="9">
        <v>61</v>
      </c>
      <c r="J24" s="9">
        <v>62</v>
      </c>
      <c r="K24" s="9">
        <v>63</v>
      </c>
      <c r="L24" s="91"/>
      <c r="O24"/>
      <c r="S24" s="92" t="s">
        <v>19</v>
      </c>
      <c r="T24" s="12" t="s">
        <v>10</v>
      </c>
      <c r="U24" s="13">
        <f>SUM(U25:U27)</f>
        <v>63</v>
      </c>
      <c r="V24" s="73">
        <v>1</v>
      </c>
      <c r="X24" s="1"/>
      <c r="Y24" s="1"/>
    </row>
    <row r="25" spans="1:31">
      <c r="A25" s="106"/>
      <c r="B25" s="8" t="str">
        <f t="shared" si="0"/>
        <v>602</v>
      </c>
      <c r="C25" s="9">
        <v>47</v>
      </c>
      <c r="D25" s="9">
        <v>48</v>
      </c>
      <c r="E25" s="9">
        <v>49</v>
      </c>
      <c r="F25" s="9">
        <v>50</v>
      </c>
      <c r="G25" s="82"/>
      <c r="H25" s="83"/>
      <c r="I25" s="83"/>
      <c r="J25" s="83"/>
      <c r="K25" s="84"/>
      <c r="L25" s="91"/>
      <c r="O25"/>
      <c r="S25" s="93"/>
      <c r="T25" s="14" t="s">
        <v>11</v>
      </c>
      <c r="U25" s="13" cm="1">
        <f t="array" ref="U25">CountByColor(C52:K63, T25)</f>
        <v>13</v>
      </c>
      <c r="V25" s="74">
        <v>0.20630000000000001</v>
      </c>
      <c r="X25" s="1"/>
      <c r="Y25" s="1"/>
    </row>
    <row r="26" spans="1:31">
      <c r="A26" s="106"/>
      <c r="B26" s="8" t="str">
        <f t="shared" si="0"/>
        <v>603</v>
      </c>
      <c r="C26" s="9">
        <v>51</v>
      </c>
      <c r="D26" s="9">
        <v>52</v>
      </c>
      <c r="E26" s="10">
        <v>53</v>
      </c>
      <c r="F26" s="9">
        <v>54</v>
      </c>
      <c r="G26" s="107"/>
      <c r="H26" s="108"/>
      <c r="I26" s="108"/>
      <c r="J26" s="108"/>
      <c r="K26" s="109"/>
      <c r="L26" s="91"/>
      <c r="O26"/>
      <c r="S26" s="93"/>
      <c r="T26" s="15" t="s">
        <v>12</v>
      </c>
      <c r="U26" s="13" cm="1">
        <f t="array" ref="U26">CountByColor(C52:K63, T26)</f>
        <v>0</v>
      </c>
      <c r="V26" s="73">
        <v>0</v>
      </c>
      <c r="X26" s="1"/>
      <c r="Y26" s="1"/>
    </row>
    <row r="27" spans="1:31">
      <c r="A27" s="99"/>
      <c r="B27" s="8" t="str">
        <f t="shared" si="0"/>
        <v>604</v>
      </c>
      <c r="C27" s="9">
        <v>55</v>
      </c>
      <c r="D27" s="9">
        <v>56</v>
      </c>
      <c r="E27" s="9">
        <v>57</v>
      </c>
      <c r="F27" s="9">
        <v>58</v>
      </c>
      <c r="G27" s="85"/>
      <c r="H27" s="86"/>
      <c r="I27" s="86"/>
      <c r="J27" s="86"/>
      <c r="K27" s="87"/>
      <c r="L27" s="91"/>
      <c r="O27"/>
      <c r="S27" s="94"/>
      <c r="T27" s="16" t="s">
        <v>13</v>
      </c>
      <c r="U27" s="13" cm="1">
        <f t="array" ref="U27">CountByColor(C52:K63, T27)</f>
        <v>50</v>
      </c>
      <c r="V27" s="74">
        <v>0.79369999999999996</v>
      </c>
      <c r="X27" s="1"/>
      <c r="Y27" s="1"/>
    </row>
    <row r="28" spans="1:31">
      <c r="A28" s="98">
        <v>7</v>
      </c>
      <c r="B28" s="8" t="str">
        <f t="shared" si="0"/>
        <v>701</v>
      </c>
      <c r="C28" s="9">
        <v>1</v>
      </c>
      <c r="D28" s="9">
        <v>2</v>
      </c>
      <c r="E28" s="9">
        <v>3</v>
      </c>
      <c r="F28" s="9">
        <v>4</v>
      </c>
      <c r="G28" s="9">
        <v>17</v>
      </c>
      <c r="H28" s="9">
        <v>18</v>
      </c>
      <c r="I28" s="9">
        <v>19</v>
      </c>
      <c r="J28" s="9">
        <v>20</v>
      </c>
      <c r="K28" s="9">
        <v>21</v>
      </c>
      <c r="L28" s="91" t="s">
        <v>15</v>
      </c>
      <c r="O28"/>
      <c r="S28" s="1"/>
      <c r="X28" s="1"/>
      <c r="Y28" s="1"/>
    </row>
    <row r="29" spans="1:31">
      <c r="A29" s="106"/>
      <c r="B29" s="8" t="str">
        <f t="shared" si="0"/>
        <v>702</v>
      </c>
      <c r="C29" s="9">
        <v>5</v>
      </c>
      <c r="D29" s="9">
        <v>6</v>
      </c>
      <c r="E29" s="9">
        <v>7</v>
      </c>
      <c r="F29" s="9">
        <v>8</v>
      </c>
      <c r="G29" s="82"/>
      <c r="H29" s="83"/>
      <c r="I29" s="83"/>
      <c r="J29" s="83"/>
      <c r="K29" s="84"/>
      <c r="L29" s="91"/>
      <c r="O29"/>
      <c r="S29" s="92" t="s">
        <v>20</v>
      </c>
      <c r="T29" s="12" t="s">
        <v>10</v>
      </c>
      <c r="U29" s="13">
        <f>SUM(U30:U32)</f>
        <v>63</v>
      </c>
      <c r="V29" s="73">
        <v>1</v>
      </c>
      <c r="X29" s="1"/>
      <c r="Y29" s="1"/>
    </row>
    <row r="30" spans="1:31">
      <c r="A30" s="106"/>
      <c r="B30" s="8" t="str">
        <f t="shared" si="0"/>
        <v>703</v>
      </c>
      <c r="C30" s="9">
        <v>9</v>
      </c>
      <c r="D30" s="9">
        <v>10</v>
      </c>
      <c r="E30" s="9">
        <v>11</v>
      </c>
      <c r="F30" s="9">
        <v>12</v>
      </c>
      <c r="G30" s="107"/>
      <c r="H30" s="108"/>
      <c r="I30" s="108"/>
      <c r="J30" s="108"/>
      <c r="K30" s="109"/>
      <c r="L30" s="91"/>
      <c r="O30"/>
      <c r="S30" s="93"/>
      <c r="T30" s="14" t="s">
        <v>11</v>
      </c>
      <c r="U30" s="13" cm="1">
        <f t="array" ref="U30">CountByColor(C64:K75, T30)</f>
        <v>10</v>
      </c>
      <c r="V30" s="74">
        <v>0.15870000000000001</v>
      </c>
      <c r="X30" s="1"/>
      <c r="Y30" s="1"/>
      <c r="AE30" s="2"/>
    </row>
    <row r="31" spans="1:31">
      <c r="A31" s="99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85"/>
      <c r="H31" s="86"/>
      <c r="I31" s="86"/>
      <c r="J31" s="86"/>
      <c r="K31" s="87"/>
      <c r="L31" s="91"/>
      <c r="S31" s="93"/>
      <c r="T31" s="15" t="s">
        <v>12</v>
      </c>
      <c r="U31" s="13" cm="1">
        <f t="array" ref="U31">CountByColor(C64:K75, T31)</f>
        <v>3</v>
      </c>
      <c r="V31" s="74">
        <v>4.7600000000000003E-2</v>
      </c>
      <c r="X31" s="1"/>
      <c r="Y31" s="1"/>
    </row>
    <row r="32" spans="1:31">
      <c r="A32" s="98">
        <v>8</v>
      </c>
      <c r="B32" s="8" t="str">
        <f t="shared" si="0"/>
        <v>801</v>
      </c>
      <c r="C32" s="9">
        <v>22</v>
      </c>
      <c r="D32" s="9">
        <v>23</v>
      </c>
      <c r="E32" s="9">
        <v>24</v>
      </c>
      <c r="F32" s="9">
        <v>25</v>
      </c>
      <c r="G32" s="9">
        <v>38</v>
      </c>
      <c r="H32" s="9">
        <v>39</v>
      </c>
      <c r="I32" s="9">
        <v>40</v>
      </c>
      <c r="J32" s="9">
        <v>41</v>
      </c>
      <c r="K32" s="9">
        <v>42</v>
      </c>
      <c r="L32" s="91"/>
      <c r="S32" s="94"/>
      <c r="T32" s="16" t="s">
        <v>13</v>
      </c>
      <c r="U32" s="13" cm="1">
        <f t="array" ref="U32">CountByColor(C64:K75, T32)</f>
        <v>50</v>
      </c>
      <c r="V32" s="74">
        <v>0.79369999999999996</v>
      </c>
      <c r="X32" s="1"/>
      <c r="Y32" s="1"/>
    </row>
    <row r="33" spans="1:36">
      <c r="A33" s="106"/>
      <c r="B33" s="8" t="str">
        <f t="shared" si="0"/>
        <v>802</v>
      </c>
      <c r="C33" s="9">
        <v>26</v>
      </c>
      <c r="D33" s="9">
        <v>27</v>
      </c>
      <c r="E33" s="9">
        <v>28</v>
      </c>
      <c r="F33" s="9">
        <v>29</v>
      </c>
      <c r="G33" s="82"/>
      <c r="H33" s="83"/>
      <c r="I33" s="83"/>
      <c r="J33" s="83"/>
      <c r="K33" s="84"/>
      <c r="L33" s="91"/>
      <c r="S33" s="1"/>
      <c r="X33" s="1"/>
      <c r="Y33" s="1"/>
      <c r="AD33" s="1"/>
      <c r="AE33" s="1"/>
    </row>
    <row r="34" spans="1:36">
      <c r="A34" s="106"/>
      <c r="B34" s="8" t="str">
        <f t="shared" si="0"/>
        <v>803</v>
      </c>
      <c r="C34" s="9">
        <v>30</v>
      </c>
      <c r="D34" s="9">
        <v>31</v>
      </c>
      <c r="E34" s="9">
        <v>32</v>
      </c>
      <c r="F34" s="9">
        <v>33</v>
      </c>
      <c r="G34" s="107"/>
      <c r="H34" s="108"/>
      <c r="I34" s="108"/>
      <c r="J34" s="108"/>
      <c r="K34" s="109"/>
      <c r="L34" s="91"/>
      <c r="S34" s="92" t="s">
        <v>21</v>
      </c>
      <c r="T34" s="12" t="s">
        <v>10</v>
      </c>
      <c r="U34" s="13">
        <f>SUM(U35:U37)</f>
        <v>84</v>
      </c>
      <c r="V34" s="73">
        <v>1</v>
      </c>
      <c r="X34" s="1"/>
      <c r="Y34" s="1"/>
      <c r="AD34" s="1"/>
      <c r="AE34" s="1"/>
    </row>
    <row r="35" spans="1:36">
      <c r="A35" s="99"/>
      <c r="B35" s="8" t="str">
        <f t="shared" si="0"/>
        <v>804</v>
      </c>
      <c r="C35" s="9">
        <v>34</v>
      </c>
      <c r="D35" s="9">
        <v>35</v>
      </c>
      <c r="E35" s="9">
        <v>36</v>
      </c>
      <c r="F35" s="9">
        <v>37</v>
      </c>
      <c r="G35" s="85"/>
      <c r="H35" s="86"/>
      <c r="I35" s="86"/>
      <c r="J35" s="86"/>
      <c r="K35" s="87"/>
      <c r="L35" s="91"/>
      <c r="S35" s="93"/>
      <c r="T35" s="14" t="s">
        <v>11</v>
      </c>
      <c r="U35" s="13" cm="1">
        <f t="array" ref="U35">CountByColor(C76:K91, T35)</f>
        <v>21</v>
      </c>
      <c r="V35" s="73">
        <v>0.25</v>
      </c>
      <c r="X35" s="1"/>
      <c r="Y35" s="1"/>
      <c r="AD35" s="1"/>
      <c r="AE35" s="1"/>
    </row>
    <row r="36" spans="1:36">
      <c r="A36" s="98">
        <v>9</v>
      </c>
      <c r="B36" s="8" t="str">
        <f t="shared" si="0"/>
        <v>901</v>
      </c>
      <c r="C36" s="9">
        <v>43</v>
      </c>
      <c r="D36" s="9">
        <v>44</v>
      </c>
      <c r="E36" s="11">
        <v>45</v>
      </c>
      <c r="F36" s="9">
        <v>46</v>
      </c>
      <c r="G36" s="9">
        <v>59</v>
      </c>
      <c r="H36" s="9">
        <v>60</v>
      </c>
      <c r="I36" s="9">
        <v>61</v>
      </c>
      <c r="J36" s="9">
        <v>62</v>
      </c>
      <c r="K36" s="9">
        <v>63</v>
      </c>
      <c r="L36" s="91"/>
      <c r="N36" s="1"/>
      <c r="S36" s="93"/>
      <c r="T36" s="15" t="s">
        <v>12</v>
      </c>
      <c r="U36" s="13" cm="1">
        <f t="array" ref="U36">CountByColor(C76:L91, T36)</f>
        <v>6</v>
      </c>
      <c r="V36" s="13">
        <v>7.1449999999999996</v>
      </c>
      <c r="X36" s="1"/>
      <c r="Y36" s="1"/>
      <c r="AD36" s="1"/>
      <c r="AE36" s="1"/>
    </row>
    <row r="37" spans="1:36">
      <c r="A37" s="106"/>
      <c r="B37" s="8" t="str">
        <f t="shared" si="0"/>
        <v>902</v>
      </c>
      <c r="C37" s="9">
        <v>47</v>
      </c>
      <c r="D37" s="11">
        <v>48</v>
      </c>
      <c r="E37" s="9">
        <v>49</v>
      </c>
      <c r="F37" s="9">
        <v>50</v>
      </c>
      <c r="G37" s="82"/>
      <c r="H37" s="83"/>
      <c r="I37" s="83"/>
      <c r="J37" s="83"/>
      <c r="K37" s="84"/>
      <c r="L37" s="91"/>
      <c r="N37" s="1"/>
      <c r="S37" s="94"/>
      <c r="T37" s="16" t="s">
        <v>13</v>
      </c>
      <c r="U37" s="13" cm="1">
        <f t="array" ref="U37">CountByColor(C76:K91, T37)</f>
        <v>57</v>
      </c>
      <c r="V37" s="74">
        <v>0.67859999999999998</v>
      </c>
      <c r="X37" s="1"/>
      <c r="Y37" s="1"/>
      <c r="AD37" s="1"/>
      <c r="AE37" s="1"/>
    </row>
    <row r="38" spans="1:36">
      <c r="A38" s="106"/>
      <c r="B38" s="8" t="str">
        <f t="shared" si="0"/>
        <v>903</v>
      </c>
      <c r="C38" s="9">
        <v>51</v>
      </c>
      <c r="D38" s="9">
        <v>52</v>
      </c>
      <c r="E38" s="9">
        <v>53</v>
      </c>
      <c r="F38" s="9">
        <v>54</v>
      </c>
      <c r="G38" s="107"/>
      <c r="H38" s="108"/>
      <c r="I38" s="108"/>
      <c r="J38" s="108"/>
      <c r="K38" s="109"/>
      <c r="L38" s="91"/>
      <c r="N38" s="1"/>
      <c r="O38"/>
      <c r="S38" s="1"/>
      <c r="X38" s="1"/>
      <c r="Y38" s="1"/>
      <c r="AD38" s="1"/>
      <c r="AE38" s="1"/>
    </row>
    <row r="39" spans="1:36">
      <c r="A39" s="99"/>
      <c r="B39" s="8" t="str">
        <f t="shared" si="0"/>
        <v>904</v>
      </c>
      <c r="C39" s="9">
        <v>55</v>
      </c>
      <c r="D39" s="9">
        <v>56</v>
      </c>
      <c r="E39" s="9">
        <v>57</v>
      </c>
      <c r="F39" s="9">
        <v>58</v>
      </c>
      <c r="G39" s="85"/>
      <c r="H39" s="86"/>
      <c r="I39" s="86"/>
      <c r="J39" s="86"/>
      <c r="K39" s="87"/>
      <c r="L39" s="91"/>
      <c r="N39" s="17"/>
      <c r="O39"/>
      <c r="S39" s="92" t="s">
        <v>22</v>
      </c>
      <c r="T39" s="12" t="s">
        <v>10</v>
      </c>
      <c r="U39" s="13">
        <f>SUM(U40:U42)</f>
        <v>72</v>
      </c>
      <c r="V39" s="73">
        <v>1</v>
      </c>
      <c r="X39" s="1"/>
      <c r="Y39" s="1"/>
      <c r="AD39" s="1"/>
      <c r="AE39" s="1"/>
    </row>
    <row r="40" spans="1:36">
      <c r="A40" s="98">
        <v>10</v>
      </c>
      <c r="B40" s="8" t="str">
        <f t="shared" si="0"/>
        <v>1001</v>
      </c>
      <c r="C40" s="9">
        <v>1</v>
      </c>
      <c r="D40" s="9">
        <v>2</v>
      </c>
      <c r="E40" s="9">
        <v>3</v>
      </c>
      <c r="F40" s="9">
        <v>4</v>
      </c>
      <c r="G40" s="9">
        <v>17</v>
      </c>
      <c r="H40" s="9">
        <v>18</v>
      </c>
      <c r="I40" s="9">
        <v>19</v>
      </c>
      <c r="J40" s="9">
        <v>20</v>
      </c>
      <c r="K40" s="9">
        <v>21</v>
      </c>
      <c r="L40" s="91" t="s">
        <v>16</v>
      </c>
      <c r="M40" s="1"/>
      <c r="N40" s="6"/>
      <c r="O40"/>
      <c r="R40" s="1"/>
      <c r="S40" s="93"/>
      <c r="T40" s="14" t="s">
        <v>11</v>
      </c>
      <c r="U40" s="13" cm="1">
        <f t="array" ref="U40">CountByColor(C92:L106, T40)</f>
        <v>5</v>
      </c>
      <c r="V40" s="74">
        <v>6.9400000000000003E-2</v>
      </c>
      <c r="W40" s="1"/>
      <c r="X40" s="1"/>
      <c r="AC40" s="1"/>
      <c r="AD40" s="1"/>
    </row>
    <row r="41" spans="1:36">
      <c r="A41" s="106"/>
      <c r="B41" s="8" t="str">
        <f t="shared" si="0"/>
        <v>1002</v>
      </c>
      <c r="C41" s="9">
        <v>5</v>
      </c>
      <c r="D41" s="9">
        <v>6</v>
      </c>
      <c r="E41" s="9">
        <v>7</v>
      </c>
      <c r="F41" s="9">
        <v>8</v>
      </c>
      <c r="G41" s="82"/>
      <c r="H41" s="83"/>
      <c r="I41" s="83"/>
      <c r="J41" s="83"/>
      <c r="K41" s="84"/>
      <c r="L41" s="91"/>
      <c r="M41" s="1"/>
      <c r="N41" s="6"/>
      <c r="O41"/>
      <c r="R41" s="1"/>
      <c r="S41" s="93"/>
      <c r="T41" s="15" t="s">
        <v>12</v>
      </c>
      <c r="U41" s="13" cm="1">
        <f t="array" ref="U41">CountByColor(C92:K106, T41)</f>
        <v>0</v>
      </c>
      <c r="V41" s="73">
        <v>0</v>
      </c>
      <c r="W41" s="1"/>
      <c r="X41" s="1"/>
      <c r="AC41" s="1"/>
      <c r="AD41" s="1"/>
    </row>
    <row r="42" spans="1:36">
      <c r="A42" s="106"/>
      <c r="B42" s="8" t="str">
        <f t="shared" si="0"/>
        <v>1003</v>
      </c>
      <c r="C42" s="9">
        <v>9</v>
      </c>
      <c r="D42" s="9">
        <v>10</v>
      </c>
      <c r="E42" s="9">
        <v>11</v>
      </c>
      <c r="F42" s="9">
        <v>12</v>
      </c>
      <c r="G42" s="107"/>
      <c r="H42" s="108"/>
      <c r="I42" s="108"/>
      <c r="J42" s="108"/>
      <c r="K42" s="109"/>
      <c r="L42" s="91"/>
      <c r="M42" s="1"/>
      <c r="N42" s="6"/>
      <c r="O42"/>
      <c r="R42" s="1"/>
      <c r="S42" s="94"/>
      <c r="T42" s="16" t="s">
        <v>13</v>
      </c>
      <c r="U42" s="13" cm="1">
        <f t="array" ref="U42">CountByColor(C92:K106, T42)</f>
        <v>67</v>
      </c>
      <c r="V42" s="74">
        <v>0.93059999999999998</v>
      </c>
      <c r="X42" s="1"/>
      <c r="AC42" s="1"/>
      <c r="AD42" s="1"/>
      <c r="AJ42" s="2"/>
    </row>
    <row r="43" spans="1:36">
      <c r="A43" s="99"/>
      <c r="B43" s="8" t="str">
        <f t="shared" si="0"/>
        <v>1004</v>
      </c>
      <c r="C43" s="11">
        <v>13</v>
      </c>
      <c r="D43" s="11">
        <v>14</v>
      </c>
      <c r="E43" s="11">
        <v>15</v>
      </c>
      <c r="F43" s="9">
        <v>16</v>
      </c>
      <c r="G43" s="85"/>
      <c r="H43" s="86"/>
      <c r="I43" s="86"/>
      <c r="J43" s="86"/>
      <c r="K43" s="87"/>
      <c r="L43" s="91"/>
      <c r="M43" s="1"/>
      <c r="N43" s="6"/>
      <c r="O43"/>
      <c r="R43" s="1"/>
      <c r="W43" s="1"/>
      <c r="X43" s="1"/>
      <c r="AC43" s="1"/>
      <c r="AD43" s="1"/>
    </row>
    <row r="44" spans="1:36">
      <c r="A44" s="98">
        <v>11</v>
      </c>
      <c r="B44" s="8" t="str">
        <f t="shared" si="0"/>
        <v>1101</v>
      </c>
      <c r="C44" s="9">
        <v>22</v>
      </c>
      <c r="D44" s="9">
        <v>23</v>
      </c>
      <c r="E44" s="9">
        <v>24</v>
      </c>
      <c r="F44" s="9">
        <v>25</v>
      </c>
      <c r="G44" s="9">
        <v>38</v>
      </c>
      <c r="H44" s="9">
        <v>39</v>
      </c>
      <c r="I44" s="9">
        <v>40</v>
      </c>
      <c r="J44" s="9">
        <v>41</v>
      </c>
      <c r="K44" s="9">
        <v>42</v>
      </c>
      <c r="L44" s="91"/>
      <c r="M44" s="1"/>
      <c r="N44" s="6"/>
      <c r="O44"/>
      <c r="R44" s="1"/>
      <c r="W44" s="1"/>
      <c r="X44" s="1"/>
      <c r="AC44" s="1"/>
      <c r="AD44" s="1"/>
    </row>
    <row r="45" spans="1:36">
      <c r="A45" s="106"/>
      <c r="B45" s="8" t="str">
        <f t="shared" si="0"/>
        <v>1102</v>
      </c>
      <c r="C45" s="10">
        <v>26</v>
      </c>
      <c r="D45" s="9">
        <v>27</v>
      </c>
      <c r="E45" s="9">
        <v>28</v>
      </c>
      <c r="F45" s="9">
        <v>29</v>
      </c>
      <c r="G45" s="82"/>
      <c r="H45" s="83"/>
      <c r="I45" s="83"/>
      <c r="J45" s="83"/>
      <c r="K45" s="84"/>
      <c r="L45" s="91"/>
      <c r="M45" s="1"/>
      <c r="N45" s="6"/>
      <c r="O45"/>
      <c r="R45" s="1"/>
      <c r="W45" s="1"/>
      <c r="X45" s="1"/>
      <c r="AC45" s="1"/>
      <c r="AD45" s="1"/>
    </row>
    <row r="46" spans="1:36">
      <c r="A46" s="106"/>
      <c r="B46" s="8" t="str">
        <f t="shared" si="0"/>
        <v>1103</v>
      </c>
      <c r="C46" s="9">
        <v>30</v>
      </c>
      <c r="D46" s="9">
        <v>31</v>
      </c>
      <c r="E46" s="9">
        <v>32</v>
      </c>
      <c r="F46" s="9">
        <v>33</v>
      </c>
      <c r="G46" s="107"/>
      <c r="H46" s="108"/>
      <c r="I46" s="108"/>
      <c r="J46" s="108"/>
      <c r="K46" s="109"/>
      <c r="L46" s="91"/>
      <c r="M46" s="1"/>
      <c r="N46" s="6"/>
      <c r="O46"/>
      <c r="R46" s="1"/>
      <c r="W46" s="1"/>
      <c r="X46" s="1"/>
      <c r="AC46" s="1"/>
      <c r="AD46" s="1"/>
    </row>
    <row r="47" spans="1:36">
      <c r="A47" s="99"/>
      <c r="B47" s="8" t="str">
        <f t="shared" si="0"/>
        <v>1104</v>
      </c>
      <c r="C47" s="9">
        <v>34</v>
      </c>
      <c r="D47" s="9">
        <v>35</v>
      </c>
      <c r="E47" s="9">
        <v>36</v>
      </c>
      <c r="F47" s="9">
        <v>37</v>
      </c>
      <c r="G47" s="85"/>
      <c r="H47" s="86"/>
      <c r="I47" s="86"/>
      <c r="J47" s="86"/>
      <c r="K47" s="87"/>
      <c r="L47" s="91"/>
      <c r="M47" s="1"/>
      <c r="N47" s="6"/>
      <c r="O47"/>
      <c r="R47" s="1"/>
      <c r="W47" s="1"/>
      <c r="X47" s="1"/>
      <c r="AC47" s="1"/>
      <c r="AD47" s="1"/>
    </row>
    <row r="48" spans="1:36">
      <c r="A48" s="80">
        <v>12</v>
      </c>
      <c r="B48" s="8" t="str">
        <f t="shared" si="0"/>
        <v>1201</v>
      </c>
      <c r="C48" s="9">
        <v>43</v>
      </c>
      <c r="D48" s="11">
        <v>44</v>
      </c>
      <c r="E48" s="9">
        <v>45</v>
      </c>
      <c r="F48" s="9">
        <v>46</v>
      </c>
      <c r="G48" s="9">
        <v>59</v>
      </c>
      <c r="H48" s="9">
        <v>60</v>
      </c>
      <c r="I48" s="9">
        <v>61</v>
      </c>
      <c r="J48" s="9">
        <v>62</v>
      </c>
      <c r="K48" s="9">
        <v>63</v>
      </c>
      <c r="L48" s="91"/>
      <c r="M48" s="1"/>
      <c r="N48" s="6"/>
      <c r="R48" s="1"/>
      <c r="W48" s="1"/>
      <c r="X48" s="1"/>
      <c r="AC48" s="1"/>
      <c r="AD48" s="1"/>
    </row>
    <row r="49" spans="1:30">
      <c r="A49" s="80"/>
      <c r="B49" s="8" t="str">
        <f t="shared" si="0"/>
        <v>1202</v>
      </c>
      <c r="C49" s="9">
        <v>47</v>
      </c>
      <c r="D49" s="11">
        <v>48</v>
      </c>
      <c r="E49" s="9">
        <v>49</v>
      </c>
      <c r="F49" s="9">
        <v>50</v>
      </c>
      <c r="G49" s="82"/>
      <c r="H49" s="83"/>
      <c r="I49" s="83"/>
      <c r="J49" s="83"/>
      <c r="K49" s="84"/>
      <c r="L49" s="91"/>
      <c r="M49" s="1"/>
      <c r="N49" s="6"/>
      <c r="R49" s="1"/>
      <c r="W49" s="1"/>
      <c r="X49" s="1"/>
      <c r="AC49" s="1"/>
      <c r="AD49" s="1"/>
    </row>
    <row r="50" spans="1:30">
      <c r="A50" s="80"/>
      <c r="B50" s="8" t="str">
        <f t="shared" si="0"/>
        <v>1203</v>
      </c>
      <c r="C50" s="9">
        <v>51</v>
      </c>
      <c r="D50" s="9">
        <v>52</v>
      </c>
      <c r="E50" s="9">
        <v>53</v>
      </c>
      <c r="F50" s="9">
        <v>54</v>
      </c>
      <c r="G50" s="107"/>
      <c r="H50" s="108"/>
      <c r="I50" s="108"/>
      <c r="J50" s="108"/>
      <c r="K50" s="109"/>
      <c r="L50" s="91"/>
    </row>
    <row r="51" spans="1:30">
      <c r="A51" s="80"/>
      <c r="B51" s="8" t="str">
        <f t="shared" si="0"/>
        <v>1204</v>
      </c>
      <c r="C51" s="9">
        <v>55</v>
      </c>
      <c r="D51" s="9">
        <v>56</v>
      </c>
      <c r="E51" s="9">
        <v>57</v>
      </c>
      <c r="F51" s="9">
        <v>58</v>
      </c>
      <c r="G51" s="85"/>
      <c r="H51" s="86"/>
      <c r="I51" s="86"/>
      <c r="J51" s="86"/>
      <c r="K51" s="87"/>
      <c r="L51" s="91"/>
    </row>
    <row r="52" spans="1:30">
      <c r="A52" s="98">
        <v>13</v>
      </c>
      <c r="B52" s="8" t="str">
        <f t="shared" si="0"/>
        <v>1301</v>
      </c>
      <c r="C52" s="11">
        <v>1</v>
      </c>
      <c r="D52" s="11">
        <v>2</v>
      </c>
      <c r="E52" s="11">
        <v>3</v>
      </c>
      <c r="F52" s="11">
        <v>4</v>
      </c>
      <c r="G52" s="9">
        <v>17</v>
      </c>
      <c r="H52" s="9">
        <v>18</v>
      </c>
      <c r="I52" s="9">
        <v>19</v>
      </c>
      <c r="J52" s="9">
        <v>20</v>
      </c>
      <c r="K52" s="9">
        <v>21</v>
      </c>
      <c r="L52" s="91" t="s">
        <v>18</v>
      </c>
    </row>
    <row r="53" spans="1:30">
      <c r="A53" s="106"/>
      <c r="B53" s="8" t="str">
        <f t="shared" si="0"/>
        <v>1302</v>
      </c>
      <c r="C53" s="9">
        <v>5</v>
      </c>
      <c r="D53" s="9">
        <v>6</v>
      </c>
      <c r="E53" s="11">
        <v>7</v>
      </c>
      <c r="F53" s="9">
        <v>8</v>
      </c>
      <c r="G53" s="82"/>
      <c r="H53" s="83"/>
      <c r="I53" s="83"/>
      <c r="J53" s="83"/>
      <c r="K53" s="84"/>
      <c r="L53" s="91"/>
    </row>
    <row r="54" spans="1:30">
      <c r="A54" s="106"/>
      <c r="B54" s="8" t="str">
        <f t="shared" si="0"/>
        <v>1303</v>
      </c>
      <c r="C54" s="9">
        <v>9</v>
      </c>
      <c r="D54" s="11">
        <v>10</v>
      </c>
      <c r="E54" s="11">
        <v>11</v>
      </c>
      <c r="F54" s="9">
        <v>12</v>
      </c>
      <c r="G54" s="107"/>
      <c r="H54" s="108"/>
      <c r="I54" s="108"/>
      <c r="J54" s="108"/>
      <c r="K54" s="109"/>
      <c r="L54" s="91"/>
    </row>
    <row r="55" spans="1:30">
      <c r="A55" s="99"/>
      <c r="B55" s="8" t="str">
        <f t="shared" si="0"/>
        <v>1304</v>
      </c>
      <c r="C55" s="9">
        <v>13</v>
      </c>
      <c r="D55" s="9">
        <v>14</v>
      </c>
      <c r="E55" s="9">
        <v>15</v>
      </c>
      <c r="F55" s="9">
        <v>16</v>
      </c>
      <c r="G55" s="85"/>
      <c r="H55" s="86"/>
      <c r="I55" s="86"/>
      <c r="J55" s="86"/>
      <c r="K55" s="87"/>
      <c r="L55" s="91"/>
    </row>
    <row r="56" spans="1:30">
      <c r="A56" s="98">
        <v>14</v>
      </c>
      <c r="B56" s="8" t="str">
        <f t="shared" si="0"/>
        <v>1401</v>
      </c>
      <c r="C56" s="9">
        <v>22</v>
      </c>
      <c r="D56" s="9">
        <v>23</v>
      </c>
      <c r="E56" s="9">
        <v>24</v>
      </c>
      <c r="F56" s="9">
        <v>25</v>
      </c>
      <c r="G56" s="9">
        <v>38</v>
      </c>
      <c r="H56" s="9">
        <v>39</v>
      </c>
      <c r="I56" s="9">
        <v>40</v>
      </c>
      <c r="J56" s="9">
        <v>41</v>
      </c>
      <c r="K56" s="9">
        <v>42</v>
      </c>
      <c r="L56" s="91"/>
    </row>
    <row r="57" spans="1:30">
      <c r="A57" s="106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82"/>
      <c r="H57" s="83"/>
      <c r="I57" s="83"/>
      <c r="J57" s="83"/>
      <c r="K57" s="84"/>
      <c r="L57" s="91"/>
    </row>
    <row r="58" spans="1:30">
      <c r="A58" s="106"/>
      <c r="B58" s="8" t="str">
        <f t="shared" si="0"/>
        <v>1403</v>
      </c>
      <c r="C58" s="9">
        <v>30</v>
      </c>
      <c r="D58" s="9">
        <v>31</v>
      </c>
      <c r="E58" s="9">
        <v>32</v>
      </c>
      <c r="F58" s="9">
        <v>33</v>
      </c>
      <c r="G58" s="107"/>
      <c r="H58" s="108"/>
      <c r="I58" s="108"/>
      <c r="J58" s="108"/>
      <c r="K58" s="109"/>
      <c r="L58" s="91"/>
    </row>
    <row r="59" spans="1:30">
      <c r="A59" s="99"/>
      <c r="B59" s="8" t="str">
        <f t="shared" si="0"/>
        <v>1404</v>
      </c>
      <c r="C59" s="11">
        <v>34</v>
      </c>
      <c r="D59" s="11">
        <v>35</v>
      </c>
      <c r="E59" s="11">
        <v>36</v>
      </c>
      <c r="F59" s="9">
        <v>37</v>
      </c>
      <c r="G59" s="85"/>
      <c r="H59" s="86"/>
      <c r="I59" s="86"/>
      <c r="J59" s="86"/>
      <c r="K59" s="87"/>
      <c r="L59" s="91"/>
    </row>
    <row r="60" spans="1:30">
      <c r="A60" s="98">
        <v>15</v>
      </c>
      <c r="B60" s="8" t="str">
        <f t="shared" si="0"/>
        <v>1501</v>
      </c>
      <c r="C60" s="9">
        <v>43</v>
      </c>
      <c r="D60" s="9">
        <v>44</v>
      </c>
      <c r="E60" s="9">
        <v>45</v>
      </c>
      <c r="F60" s="9">
        <v>46</v>
      </c>
      <c r="G60" s="9">
        <v>59</v>
      </c>
      <c r="H60" s="9">
        <v>60</v>
      </c>
      <c r="I60" s="9">
        <v>61</v>
      </c>
      <c r="J60" s="9">
        <v>62</v>
      </c>
      <c r="K60" s="9">
        <v>63</v>
      </c>
      <c r="L60" s="91"/>
    </row>
    <row r="61" spans="1:30">
      <c r="A61" s="106"/>
      <c r="B61" s="8" t="str">
        <f t="shared" si="0"/>
        <v>1502</v>
      </c>
      <c r="C61" s="9">
        <v>47</v>
      </c>
      <c r="D61" s="9">
        <v>48</v>
      </c>
      <c r="E61" s="9">
        <v>49</v>
      </c>
      <c r="F61" s="9">
        <v>50</v>
      </c>
      <c r="G61" s="82"/>
      <c r="H61" s="83"/>
      <c r="I61" s="83"/>
      <c r="J61" s="83"/>
      <c r="K61" s="84"/>
      <c r="L61" s="91"/>
    </row>
    <row r="62" spans="1:30">
      <c r="A62" s="106"/>
      <c r="B62" s="8" t="str">
        <f t="shared" si="0"/>
        <v>1503</v>
      </c>
      <c r="C62" s="11">
        <v>51</v>
      </c>
      <c r="D62" s="9">
        <v>52</v>
      </c>
      <c r="E62" s="9">
        <v>53</v>
      </c>
      <c r="F62" s="9">
        <v>54</v>
      </c>
      <c r="G62" s="107"/>
      <c r="H62" s="108"/>
      <c r="I62" s="108"/>
      <c r="J62" s="108"/>
      <c r="K62" s="109"/>
      <c r="L62" s="91"/>
    </row>
    <row r="63" spans="1:30">
      <c r="A63" s="99"/>
      <c r="B63" s="8" t="str">
        <f t="shared" si="0"/>
        <v>1504</v>
      </c>
      <c r="C63" s="9">
        <v>55</v>
      </c>
      <c r="D63" s="11">
        <v>56</v>
      </c>
      <c r="E63" s="11">
        <v>57</v>
      </c>
      <c r="F63" s="9">
        <v>58</v>
      </c>
      <c r="G63" s="85"/>
      <c r="H63" s="86"/>
      <c r="I63" s="86"/>
      <c r="J63" s="86"/>
      <c r="K63" s="87"/>
      <c r="L63" s="91"/>
    </row>
    <row r="64" spans="1:30">
      <c r="A64" s="98">
        <v>16</v>
      </c>
      <c r="B64" s="8" t="str">
        <f t="shared" si="0"/>
        <v>1601</v>
      </c>
      <c r="C64" s="9">
        <v>1</v>
      </c>
      <c r="D64" s="9">
        <v>2</v>
      </c>
      <c r="E64" s="11">
        <v>3</v>
      </c>
      <c r="F64" s="9">
        <v>4</v>
      </c>
      <c r="G64" s="9">
        <v>17</v>
      </c>
      <c r="H64" s="9">
        <v>18</v>
      </c>
      <c r="I64" s="9">
        <v>19</v>
      </c>
      <c r="J64" s="9">
        <v>20</v>
      </c>
      <c r="K64" s="9">
        <v>21</v>
      </c>
      <c r="L64" s="91" t="s">
        <v>20</v>
      </c>
    </row>
    <row r="65" spans="1:12">
      <c r="A65" s="106"/>
      <c r="B65" s="8" t="str">
        <f t="shared" si="0"/>
        <v>1602</v>
      </c>
      <c r="C65" s="9">
        <v>5</v>
      </c>
      <c r="D65" s="9">
        <v>6</v>
      </c>
      <c r="E65" s="9">
        <v>7</v>
      </c>
      <c r="F65" s="9">
        <v>8</v>
      </c>
      <c r="G65" s="82"/>
      <c r="H65" s="83"/>
      <c r="I65" s="83"/>
      <c r="J65" s="83"/>
      <c r="K65" s="84"/>
      <c r="L65" s="91"/>
    </row>
    <row r="66" spans="1:12">
      <c r="A66" s="106"/>
      <c r="B66" s="8" t="str">
        <f t="shared" si="0"/>
        <v>1603</v>
      </c>
      <c r="C66" s="9">
        <v>9</v>
      </c>
      <c r="D66" s="9">
        <v>10</v>
      </c>
      <c r="E66" s="9">
        <v>11</v>
      </c>
      <c r="F66" s="9">
        <v>12</v>
      </c>
      <c r="G66" s="107"/>
      <c r="H66" s="108"/>
      <c r="I66" s="108"/>
      <c r="J66" s="108"/>
      <c r="K66" s="109"/>
      <c r="L66" s="91"/>
    </row>
    <row r="67" spans="1:12">
      <c r="A67" s="99"/>
      <c r="B67" s="8" t="str">
        <f t="shared" si="0"/>
        <v>1604</v>
      </c>
      <c r="C67" s="9">
        <v>13</v>
      </c>
      <c r="D67" s="10">
        <v>14</v>
      </c>
      <c r="E67" s="9">
        <v>15</v>
      </c>
      <c r="F67" s="9">
        <v>16</v>
      </c>
      <c r="G67" s="85"/>
      <c r="H67" s="86"/>
      <c r="I67" s="86"/>
      <c r="J67" s="86"/>
      <c r="K67" s="87"/>
      <c r="L67" s="91"/>
    </row>
    <row r="68" spans="1:12">
      <c r="A68" s="98">
        <v>17</v>
      </c>
      <c r="B68" s="8" t="str">
        <f t="shared" si="0"/>
        <v>1701</v>
      </c>
      <c r="C68" s="9">
        <v>22</v>
      </c>
      <c r="D68" s="9">
        <v>23</v>
      </c>
      <c r="E68" s="11">
        <v>24</v>
      </c>
      <c r="F68" s="11">
        <v>25</v>
      </c>
      <c r="G68" s="11">
        <v>38</v>
      </c>
      <c r="H68" s="9">
        <v>39</v>
      </c>
      <c r="I68" s="9">
        <v>40</v>
      </c>
      <c r="J68" s="11">
        <v>41</v>
      </c>
      <c r="K68" s="9">
        <v>42</v>
      </c>
      <c r="L68" s="91"/>
    </row>
    <row r="69" spans="1:12">
      <c r="A69" s="106"/>
      <c r="B69" s="8" t="str">
        <f t="shared" ref="B69:B103" si="1">INT((ROW()-4)/4)+1 &amp; TEXT(MOD(ROW()-4,4)+1,"00")</f>
        <v>1702</v>
      </c>
      <c r="C69" s="9">
        <v>26</v>
      </c>
      <c r="D69" s="9">
        <v>27</v>
      </c>
      <c r="E69" s="9">
        <v>28</v>
      </c>
      <c r="F69" s="9">
        <v>29</v>
      </c>
      <c r="G69" s="82"/>
      <c r="H69" s="83"/>
      <c r="I69" s="83"/>
      <c r="J69" s="83"/>
      <c r="K69" s="84"/>
      <c r="L69" s="91"/>
    </row>
    <row r="70" spans="1:12">
      <c r="A70" s="106"/>
      <c r="B70" s="8" t="str">
        <f t="shared" si="1"/>
        <v>1703</v>
      </c>
      <c r="C70" s="11">
        <v>30</v>
      </c>
      <c r="D70" s="9">
        <v>31</v>
      </c>
      <c r="E70" s="9">
        <v>32</v>
      </c>
      <c r="F70" s="11">
        <v>33</v>
      </c>
      <c r="G70" s="107"/>
      <c r="H70" s="108"/>
      <c r="I70" s="108"/>
      <c r="J70" s="108"/>
      <c r="K70" s="109"/>
      <c r="L70" s="91"/>
    </row>
    <row r="71" spans="1:12">
      <c r="A71" s="99"/>
      <c r="B71" s="8" t="str">
        <f t="shared" si="1"/>
        <v>1704</v>
      </c>
      <c r="C71" s="10">
        <v>34</v>
      </c>
      <c r="D71" s="9">
        <v>35</v>
      </c>
      <c r="E71" s="11">
        <v>36</v>
      </c>
      <c r="F71" s="9">
        <v>37</v>
      </c>
      <c r="G71" s="85"/>
      <c r="H71" s="86"/>
      <c r="I71" s="86"/>
      <c r="J71" s="86"/>
      <c r="K71" s="87"/>
      <c r="L71" s="91"/>
    </row>
    <row r="72" spans="1:12">
      <c r="A72" s="98">
        <v>18</v>
      </c>
      <c r="B72" s="8" t="str">
        <f t="shared" si="1"/>
        <v>1801</v>
      </c>
      <c r="C72" s="9">
        <v>43</v>
      </c>
      <c r="D72" s="9">
        <v>44</v>
      </c>
      <c r="E72" s="11">
        <v>45</v>
      </c>
      <c r="F72" s="11">
        <v>46</v>
      </c>
      <c r="G72" s="9">
        <v>59</v>
      </c>
      <c r="H72" s="9">
        <v>60</v>
      </c>
      <c r="I72" s="10">
        <v>61</v>
      </c>
      <c r="J72" s="9">
        <v>62</v>
      </c>
      <c r="K72" s="9">
        <v>63</v>
      </c>
      <c r="L72" s="91"/>
    </row>
    <row r="73" spans="1:12">
      <c r="A73" s="106"/>
      <c r="B73" s="8" t="str">
        <f t="shared" si="1"/>
        <v>1802</v>
      </c>
      <c r="C73" s="9">
        <v>47</v>
      </c>
      <c r="D73" s="9">
        <v>48</v>
      </c>
      <c r="E73" s="9">
        <v>49</v>
      </c>
      <c r="F73" s="9">
        <v>50</v>
      </c>
      <c r="G73" s="82"/>
      <c r="H73" s="83"/>
      <c r="I73" s="83"/>
      <c r="J73" s="83"/>
      <c r="K73" s="84"/>
      <c r="L73" s="91"/>
    </row>
    <row r="74" spans="1:12">
      <c r="A74" s="106"/>
      <c r="B74" s="8" t="str">
        <f t="shared" si="1"/>
        <v>1803</v>
      </c>
      <c r="C74" s="9">
        <v>51</v>
      </c>
      <c r="D74" s="9">
        <v>52</v>
      </c>
      <c r="E74" s="9">
        <v>53</v>
      </c>
      <c r="F74" s="9">
        <v>54</v>
      </c>
      <c r="G74" s="107"/>
      <c r="H74" s="108"/>
      <c r="I74" s="108"/>
      <c r="J74" s="108"/>
      <c r="K74" s="109"/>
      <c r="L74" s="91"/>
    </row>
    <row r="75" spans="1:12">
      <c r="A75" s="99"/>
      <c r="B75" s="8" t="str">
        <f t="shared" si="1"/>
        <v>1804</v>
      </c>
      <c r="C75" s="9">
        <v>55</v>
      </c>
      <c r="D75" s="9">
        <v>56</v>
      </c>
      <c r="E75" s="9">
        <v>57</v>
      </c>
      <c r="F75" s="9">
        <v>58</v>
      </c>
      <c r="G75" s="85"/>
      <c r="H75" s="86"/>
      <c r="I75" s="86"/>
      <c r="J75" s="86"/>
      <c r="K75" s="87"/>
      <c r="L75" s="91"/>
    </row>
    <row r="76" spans="1:12">
      <c r="A76" s="98">
        <v>19</v>
      </c>
      <c r="B76" s="8" t="str">
        <f t="shared" si="1"/>
        <v>1901</v>
      </c>
      <c r="C76" s="10">
        <v>1</v>
      </c>
      <c r="D76" s="9">
        <v>2</v>
      </c>
      <c r="E76" s="9">
        <v>3</v>
      </c>
      <c r="F76" s="9">
        <v>4</v>
      </c>
      <c r="G76" s="11">
        <v>17</v>
      </c>
      <c r="H76" s="9">
        <v>18</v>
      </c>
      <c r="I76" s="9">
        <v>19</v>
      </c>
      <c r="J76" s="9">
        <v>20</v>
      </c>
      <c r="K76" s="9">
        <v>21</v>
      </c>
      <c r="L76" s="91" t="s">
        <v>21</v>
      </c>
    </row>
    <row r="77" spans="1:12">
      <c r="A77" s="106"/>
      <c r="B77" s="8" t="str">
        <f t="shared" si="1"/>
        <v>1902</v>
      </c>
      <c r="C77" s="9">
        <v>5</v>
      </c>
      <c r="D77" s="11">
        <v>6</v>
      </c>
      <c r="E77" s="11">
        <v>7</v>
      </c>
      <c r="F77" s="11">
        <v>8</v>
      </c>
      <c r="G77" s="82"/>
      <c r="H77" s="83"/>
      <c r="I77" s="83"/>
      <c r="J77" s="83"/>
      <c r="K77" s="84"/>
      <c r="L77" s="91"/>
    </row>
    <row r="78" spans="1:12">
      <c r="A78" s="106"/>
      <c r="B78" s="8" t="str">
        <f t="shared" si="1"/>
        <v>1903</v>
      </c>
      <c r="C78" s="11">
        <v>9</v>
      </c>
      <c r="D78" s="11">
        <v>10</v>
      </c>
      <c r="E78" s="9">
        <v>11</v>
      </c>
      <c r="F78" s="9">
        <v>12</v>
      </c>
      <c r="G78" s="107"/>
      <c r="H78" s="108"/>
      <c r="I78" s="108"/>
      <c r="J78" s="108"/>
      <c r="K78" s="109"/>
      <c r="L78" s="91"/>
    </row>
    <row r="79" spans="1:12">
      <c r="A79" s="99"/>
      <c r="B79" s="8" t="str">
        <f t="shared" si="1"/>
        <v>1904</v>
      </c>
      <c r="C79" s="9">
        <v>13</v>
      </c>
      <c r="D79" s="9">
        <v>14</v>
      </c>
      <c r="E79" s="9">
        <v>15</v>
      </c>
      <c r="F79" s="9">
        <v>16</v>
      </c>
      <c r="G79" s="85"/>
      <c r="H79" s="86"/>
      <c r="I79" s="86"/>
      <c r="J79" s="86"/>
      <c r="K79" s="87"/>
      <c r="L79" s="91"/>
    </row>
    <row r="80" spans="1:12">
      <c r="A80" s="98">
        <v>20</v>
      </c>
      <c r="B80" s="8" t="str">
        <f t="shared" si="1"/>
        <v>2001</v>
      </c>
      <c r="C80" s="9">
        <v>22</v>
      </c>
      <c r="D80" s="10">
        <v>23</v>
      </c>
      <c r="E80" s="11">
        <v>24</v>
      </c>
      <c r="F80" s="9">
        <v>25</v>
      </c>
      <c r="G80" s="9">
        <v>38</v>
      </c>
      <c r="H80" s="9">
        <v>39</v>
      </c>
      <c r="I80" s="9">
        <v>40</v>
      </c>
      <c r="J80" s="9">
        <v>41</v>
      </c>
      <c r="K80" s="9">
        <v>42</v>
      </c>
      <c r="L80" s="91"/>
    </row>
    <row r="81" spans="1:19">
      <c r="A81" s="106"/>
      <c r="B81" s="8" t="str">
        <f t="shared" si="1"/>
        <v>2002</v>
      </c>
      <c r="C81" s="9">
        <v>26</v>
      </c>
      <c r="D81" s="11">
        <v>27</v>
      </c>
      <c r="E81" s="11">
        <v>28</v>
      </c>
      <c r="F81" s="10">
        <v>29</v>
      </c>
      <c r="G81" s="82"/>
      <c r="H81" s="83"/>
      <c r="I81" s="83"/>
      <c r="J81" s="83"/>
      <c r="K81" s="84"/>
      <c r="L81" s="91"/>
    </row>
    <row r="82" spans="1:19">
      <c r="A82" s="106"/>
      <c r="B82" s="8" t="str">
        <f t="shared" si="1"/>
        <v>2003</v>
      </c>
      <c r="C82" s="9">
        <v>30</v>
      </c>
      <c r="D82" s="9">
        <v>31</v>
      </c>
      <c r="E82" s="9">
        <v>32</v>
      </c>
      <c r="F82" s="9">
        <v>33</v>
      </c>
      <c r="G82" s="107"/>
      <c r="H82" s="108"/>
      <c r="I82" s="108"/>
      <c r="J82" s="108"/>
      <c r="K82" s="109"/>
      <c r="L82" s="91"/>
    </row>
    <row r="83" spans="1:19">
      <c r="A83" s="99"/>
      <c r="B83" s="8" t="str">
        <f t="shared" si="1"/>
        <v>2004</v>
      </c>
      <c r="C83" s="9">
        <v>34</v>
      </c>
      <c r="D83" s="9">
        <v>35</v>
      </c>
      <c r="E83" s="9">
        <v>36</v>
      </c>
      <c r="F83" s="9">
        <v>37</v>
      </c>
      <c r="G83" s="85"/>
      <c r="H83" s="86"/>
      <c r="I83" s="86"/>
      <c r="J83" s="86"/>
      <c r="K83" s="87"/>
      <c r="L83" s="91"/>
    </row>
    <row r="84" spans="1:19">
      <c r="A84" s="98">
        <v>21</v>
      </c>
      <c r="B84" s="8" t="str">
        <f t="shared" si="1"/>
        <v>2101</v>
      </c>
      <c r="C84" s="9">
        <v>43</v>
      </c>
      <c r="D84" s="9">
        <v>44</v>
      </c>
      <c r="E84" s="11">
        <v>45</v>
      </c>
      <c r="F84" s="11">
        <v>46</v>
      </c>
      <c r="G84" s="9">
        <v>59</v>
      </c>
      <c r="H84" s="9">
        <v>60</v>
      </c>
      <c r="I84" s="9">
        <v>61</v>
      </c>
      <c r="J84" s="11">
        <v>62</v>
      </c>
      <c r="K84" s="9">
        <v>63</v>
      </c>
      <c r="L84" s="91"/>
    </row>
    <row r="85" spans="1:19">
      <c r="A85" s="106"/>
      <c r="B85" s="8" t="str">
        <f t="shared" si="1"/>
        <v>2102</v>
      </c>
      <c r="C85" s="9">
        <v>47</v>
      </c>
      <c r="D85" s="11">
        <v>48</v>
      </c>
      <c r="E85" s="9">
        <v>49</v>
      </c>
      <c r="F85" s="9">
        <v>50</v>
      </c>
      <c r="G85" s="82"/>
      <c r="H85" s="83"/>
      <c r="I85" s="83"/>
      <c r="J85" s="83"/>
      <c r="K85" s="84"/>
      <c r="L85" s="91"/>
    </row>
    <row r="86" spans="1:19">
      <c r="A86" s="106"/>
      <c r="B86" s="8" t="str">
        <f t="shared" si="1"/>
        <v>2103</v>
      </c>
      <c r="C86" s="9">
        <v>51</v>
      </c>
      <c r="D86" s="9">
        <v>52</v>
      </c>
      <c r="E86" s="11">
        <v>53</v>
      </c>
      <c r="F86" s="9">
        <v>54</v>
      </c>
      <c r="G86" s="107"/>
      <c r="H86" s="108"/>
      <c r="I86" s="108"/>
      <c r="J86" s="108"/>
      <c r="K86" s="109"/>
      <c r="L86" s="91"/>
      <c r="O86"/>
    </row>
    <row r="87" spans="1:19">
      <c r="A87" s="99"/>
      <c r="B87" s="8" t="str">
        <f t="shared" si="1"/>
        <v>2104</v>
      </c>
      <c r="C87" s="10">
        <v>55</v>
      </c>
      <c r="D87" s="10">
        <v>56</v>
      </c>
      <c r="E87" s="9">
        <v>57</v>
      </c>
      <c r="F87" s="10">
        <v>58</v>
      </c>
      <c r="G87" s="85"/>
      <c r="H87" s="86"/>
      <c r="I87" s="86"/>
      <c r="J87" s="86"/>
      <c r="K87" s="87"/>
      <c r="L87" s="91"/>
      <c r="O87"/>
    </row>
    <row r="88" spans="1:19">
      <c r="A88" s="98">
        <v>22</v>
      </c>
      <c r="B88" s="8" t="str">
        <f t="shared" si="1"/>
        <v>2201</v>
      </c>
      <c r="C88" s="9">
        <v>64</v>
      </c>
      <c r="D88" s="9">
        <v>65</v>
      </c>
      <c r="E88" s="9">
        <v>66</v>
      </c>
      <c r="F88" s="9">
        <v>67</v>
      </c>
      <c r="G88" s="9">
        <v>80</v>
      </c>
      <c r="H88" s="9">
        <v>81</v>
      </c>
      <c r="I88" s="9">
        <v>82</v>
      </c>
      <c r="J88" s="9">
        <v>83</v>
      </c>
      <c r="K88" s="9">
        <v>84</v>
      </c>
      <c r="L88" s="91"/>
      <c r="N88" s="6"/>
      <c r="O88"/>
    </row>
    <row r="89" spans="1:19">
      <c r="A89" s="106"/>
      <c r="B89" s="8" t="str">
        <f t="shared" si="1"/>
        <v>2202</v>
      </c>
      <c r="C89" s="9">
        <v>68</v>
      </c>
      <c r="D89" s="9">
        <v>69</v>
      </c>
      <c r="E89" s="11">
        <v>70</v>
      </c>
      <c r="F89" s="11">
        <v>71</v>
      </c>
      <c r="G89" s="82"/>
      <c r="H89" s="83"/>
      <c r="I89" s="83"/>
      <c r="J89" s="83"/>
      <c r="K89" s="84"/>
      <c r="L89" s="91"/>
      <c r="N89" s="6"/>
      <c r="O89"/>
    </row>
    <row r="90" spans="1:19">
      <c r="A90" s="106"/>
      <c r="B90" s="8" t="str">
        <f t="shared" si="1"/>
        <v>2203</v>
      </c>
      <c r="C90" s="11">
        <v>72</v>
      </c>
      <c r="D90" s="11">
        <v>73</v>
      </c>
      <c r="E90" s="11">
        <v>74</v>
      </c>
      <c r="F90" s="9">
        <v>75</v>
      </c>
      <c r="G90" s="107"/>
      <c r="H90" s="108"/>
      <c r="I90" s="108"/>
      <c r="J90" s="108"/>
      <c r="K90" s="109"/>
      <c r="L90" s="91"/>
      <c r="N90" s="6"/>
      <c r="O90"/>
    </row>
    <row r="91" spans="1:19">
      <c r="A91" s="99"/>
      <c r="B91" s="8" t="str">
        <f t="shared" si="1"/>
        <v>2204</v>
      </c>
      <c r="C91" s="11">
        <v>76</v>
      </c>
      <c r="D91" s="9">
        <v>77</v>
      </c>
      <c r="E91" s="11">
        <v>78</v>
      </c>
      <c r="F91" s="9">
        <v>79</v>
      </c>
      <c r="G91" s="85"/>
      <c r="H91" s="86"/>
      <c r="I91" s="86"/>
      <c r="J91" s="86"/>
      <c r="K91" s="87"/>
      <c r="L91" s="91"/>
      <c r="N91" s="6"/>
      <c r="O91"/>
    </row>
    <row r="92" spans="1:19">
      <c r="A92" s="98">
        <v>23</v>
      </c>
      <c r="B92" s="8" t="str">
        <f t="shared" si="1"/>
        <v>2301</v>
      </c>
      <c r="C92" s="9">
        <v>1</v>
      </c>
      <c r="D92" s="9">
        <v>2</v>
      </c>
      <c r="E92" s="9">
        <v>3</v>
      </c>
      <c r="F92" s="9">
        <v>4</v>
      </c>
      <c r="G92" s="9">
        <v>17</v>
      </c>
      <c r="H92" s="9">
        <v>18</v>
      </c>
      <c r="I92" s="9">
        <v>19</v>
      </c>
      <c r="J92" s="9">
        <v>20</v>
      </c>
      <c r="K92" s="20">
        <v>21</v>
      </c>
      <c r="L92" s="100" t="s">
        <v>22</v>
      </c>
      <c r="N92" s="6"/>
      <c r="O92"/>
      <c r="S92" s="18"/>
    </row>
    <row r="93" spans="1:19">
      <c r="A93" s="106"/>
      <c r="B93" s="8" t="str">
        <f t="shared" si="1"/>
        <v>2302</v>
      </c>
      <c r="C93" s="9">
        <v>5</v>
      </c>
      <c r="D93" s="9">
        <v>6</v>
      </c>
      <c r="E93" s="9">
        <v>7</v>
      </c>
      <c r="F93" s="9">
        <v>8</v>
      </c>
      <c r="G93" s="82"/>
      <c r="H93" s="83"/>
      <c r="I93" s="83"/>
      <c r="J93" s="83"/>
      <c r="K93" s="83"/>
      <c r="L93" s="101"/>
      <c r="N93" s="6"/>
      <c r="O93"/>
    </row>
    <row r="94" spans="1:19">
      <c r="A94" s="106"/>
      <c r="B94" s="8" t="str">
        <f t="shared" si="1"/>
        <v>2303</v>
      </c>
      <c r="C94" s="9">
        <v>9</v>
      </c>
      <c r="D94" s="9">
        <v>10</v>
      </c>
      <c r="E94" s="9">
        <v>11</v>
      </c>
      <c r="F94" s="9">
        <v>12</v>
      </c>
      <c r="G94" s="107"/>
      <c r="H94" s="108"/>
      <c r="I94" s="108"/>
      <c r="J94" s="108"/>
      <c r="K94" s="108"/>
      <c r="L94" s="101"/>
      <c r="N94" s="6"/>
      <c r="O94"/>
    </row>
    <row r="95" spans="1:19">
      <c r="A95" s="99"/>
      <c r="B95" s="8" t="str">
        <f t="shared" si="1"/>
        <v>2304</v>
      </c>
      <c r="C95" s="9">
        <v>13</v>
      </c>
      <c r="D95" s="9">
        <v>14</v>
      </c>
      <c r="E95" s="9">
        <v>15</v>
      </c>
      <c r="F95" s="9">
        <v>16</v>
      </c>
      <c r="G95" s="85"/>
      <c r="H95" s="86"/>
      <c r="I95" s="86"/>
      <c r="J95" s="86"/>
      <c r="K95" s="86"/>
      <c r="L95" s="101"/>
      <c r="N95" s="6"/>
      <c r="O95"/>
    </row>
    <row r="96" spans="1:19">
      <c r="A96" s="98">
        <v>24</v>
      </c>
      <c r="B96" s="8" t="str">
        <f t="shared" si="1"/>
        <v>2401</v>
      </c>
      <c r="C96" s="9">
        <v>22</v>
      </c>
      <c r="D96" s="9">
        <v>23</v>
      </c>
      <c r="E96" s="9">
        <v>24</v>
      </c>
      <c r="F96" s="9">
        <v>25</v>
      </c>
      <c r="G96" s="9">
        <v>38</v>
      </c>
      <c r="H96" s="9">
        <v>39</v>
      </c>
      <c r="I96" s="9">
        <v>40</v>
      </c>
      <c r="J96" s="9">
        <v>41</v>
      </c>
      <c r="K96" s="20">
        <v>42</v>
      </c>
      <c r="L96" s="101"/>
      <c r="N96" s="6"/>
      <c r="O96"/>
    </row>
    <row r="97" spans="1:15">
      <c r="A97" s="106"/>
      <c r="B97" s="8" t="str">
        <f t="shared" si="1"/>
        <v>2402</v>
      </c>
      <c r="C97" s="9">
        <v>26</v>
      </c>
      <c r="D97" s="9">
        <v>27</v>
      </c>
      <c r="E97" s="9">
        <v>28</v>
      </c>
      <c r="F97" s="9">
        <v>29</v>
      </c>
      <c r="G97" s="82"/>
      <c r="H97" s="83"/>
      <c r="I97" s="83"/>
      <c r="J97" s="83"/>
      <c r="K97" s="83"/>
      <c r="L97" s="101"/>
      <c r="N97" s="6"/>
      <c r="O97"/>
    </row>
    <row r="98" spans="1:15">
      <c r="A98" s="106"/>
      <c r="B98" s="8" t="str">
        <f t="shared" si="1"/>
        <v>2403</v>
      </c>
      <c r="C98" s="9">
        <v>30</v>
      </c>
      <c r="D98" s="9">
        <v>31</v>
      </c>
      <c r="E98" s="9">
        <v>32</v>
      </c>
      <c r="F98" s="9">
        <v>33</v>
      </c>
      <c r="G98" s="107"/>
      <c r="H98" s="108"/>
      <c r="I98" s="108"/>
      <c r="J98" s="108"/>
      <c r="K98" s="108"/>
      <c r="L98" s="101"/>
      <c r="N98" s="6"/>
    </row>
    <row r="99" spans="1:15">
      <c r="A99" s="99"/>
      <c r="B99" s="8" t="str">
        <f t="shared" si="1"/>
        <v>2404</v>
      </c>
      <c r="C99" s="11">
        <v>34</v>
      </c>
      <c r="D99" s="9">
        <v>35</v>
      </c>
      <c r="E99" s="11">
        <v>36</v>
      </c>
      <c r="F99" s="11">
        <v>37</v>
      </c>
      <c r="G99" s="85"/>
      <c r="H99" s="86"/>
      <c r="I99" s="86"/>
      <c r="J99" s="86"/>
      <c r="K99" s="86"/>
      <c r="L99" s="101"/>
      <c r="N99" s="6"/>
    </row>
    <row r="100" spans="1:15">
      <c r="A100" s="98">
        <v>25</v>
      </c>
      <c r="B100" s="8" t="str">
        <f t="shared" si="1"/>
        <v>2501</v>
      </c>
      <c r="C100" s="9">
        <v>43</v>
      </c>
      <c r="D100" s="9">
        <v>44</v>
      </c>
      <c r="E100" s="9">
        <v>45</v>
      </c>
      <c r="F100" s="9">
        <v>46</v>
      </c>
      <c r="G100" s="9">
        <v>59</v>
      </c>
      <c r="H100" s="9">
        <v>60</v>
      </c>
      <c r="I100" s="9">
        <v>61</v>
      </c>
      <c r="J100" s="9">
        <v>62</v>
      </c>
      <c r="K100" s="20">
        <v>63</v>
      </c>
      <c r="L100" s="101"/>
    </row>
    <row r="101" spans="1:15">
      <c r="A101" s="106"/>
      <c r="B101" s="8" t="str">
        <f t="shared" si="1"/>
        <v>2502</v>
      </c>
      <c r="C101" s="9">
        <v>47</v>
      </c>
      <c r="D101" s="11">
        <v>48</v>
      </c>
      <c r="E101" s="11">
        <v>49</v>
      </c>
      <c r="F101" s="9">
        <v>50</v>
      </c>
      <c r="G101" s="82"/>
      <c r="H101" s="83"/>
      <c r="I101" s="83"/>
      <c r="J101" s="83"/>
      <c r="K101" s="83"/>
      <c r="L101" s="101"/>
    </row>
    <row r="102" spans="1:15">
      <c r="A102" s="106"/>
      <c r="B102" s="8" t="str">
        <f t="shared" si="1"/>
        <v>2503</v>
      </c>
      <c r="C102" s="9">
        <v>51</v>
      </c>
      <c r="D102" s="9">
        <v>52</v>
      </c>
      <c r="E102" s="9">
        <v>53</v>
      </c>
      <c r="F102" s="9">
        <v>54</v>
      </c>
      <c r="G102" s="107"/>
      <c r="H102" s="108"/>
      <c r="I102" s="108"/>
      <c r="J102" s="108"/>
      <c r="K102" s="108"/>
      <c r="L102" s="101"/>
    </row>
    <row r="103" spans="1:15">
      <c r="A103" s="99"/>
      <c r="B103" s="8" t="str">
        <f t="shared" si="1"/>
        <v>2504</v>
      </c>
      <c r="C103" s="9">
        <v>55</v>
      </c>
      <c r="D103" s="9">
        <v>56</v>
      </c>
      <c r="E103" s="9">
        <v>57</v>
      </c>
      <c r="F103" s="9">
        <v>58</v>
      </c>
      <c r="G103" s="85"/>
      <c r="H103" s="86"/>
      <c r="I103" s="86"/>
      <c r="J103" s="86"/>
      <c r="K103" s="86"/>
      <c r="L103" s="101"/>
    </row>
    <row r="104" spans="1:15">
      <c r="A104" s="98">
        <v>26</v>
      </c>
      <c r="B104" s="98" t="s">
        <v>25</v>
      </c>
      <c r="C104" s="9">
        <v>86</v>
      </c>
      <c r="D104" s="9">
        <v>87</v>
      </c>
      <c r="E104" s="9">
        <v>88</v>
      </c>
      <c r="F104" s="9">
        <v>89</v>
      </c>
      <c r="G104" s="19"/>
      <c r="H104" s="7"/>
      <c r="I104" s="9">
        <v>90</v>
      </c>
      <c r="J104" s="9">
        <v>91</v>
      </c>
      <c r="K104" s="9">
        <v>92</v>
      </c>
      <c r="L104" s="101"/>
    </row>
    <row r="105" spans="1:15">
      <c r="A105" s="106"/>
      <c r="B105" s="106"/>
      <c r="C105" s="7"/>
      <c r="D105" s="7"/>
      <c r="E105" s="7"/>
      <c r="F105" s="7"/>
      <c r="G105" s="110"/>
      <c r="H105" s="111"/>
      <c r="I105" s="111"/>
      <c r="J105" s="112"/>
      <c r="K105" s="9">
        <v>93</v>
      </c>
      <c r="L105" s="101"/>
    </row>
    <row r="106" spans="1:15">
      <c r="A106" s="99"/>
      <c r="B106" s="99"/>
      <c r="C106" s="7"/>
      <c r="D106" s="7"/>
      <c r="E106" s="7"/>
      <c r="F106" s="7"/>
      <c r="G106" s="113"/>
      <c r="H106" s="114"/>
      <c r="I106" s="114"/>
      <c r="J106" s="115"/>
      <c r="K106" s="9">
        <v>94</v>
      </c>
      <c r="L106" s="102"/>
    </row>
  </sheetData>
  <mergeCells count="81">
    <mergeCell ref="A44:A47"/>
    <mergeCell ref="A48:A51"/>
    <mergeCell ref="G49:K51"/>
    <mergeCell ref="N4:N7"/>
    <mergeCell ref="S4:S7"/>
    <mergeCell ref="S9:S12"/>
    <mergeCell ref="S14:S17"/>
    <mergeCell ref="S19:S22"/>
    <mergeCell ref="S24:S27"/>
    <mergeCell ref="S29:S32"/>
    <mergeCell ref="S34:S37"/>
    <mergeCell ref="S39:S42"/>
    <mergeCell ref="A28:A31"/>
    <mergeCell ref="A4:A7"/>
    <mergeCell ref="A32:A35"/>
    <mergeCell ref="A36:A39"/>
    <mergeCell ref="A40:A43"/>
    <mergeCell ref="A8:A11"/>
    <mergeCell ref="A12:A15"/>
    <mergeCell ref="A16:A19"/>
    <mergeCell ref="A20:A23"/>
    <mergeCell ref="A24:A27"/>
    <mergeCell ref="O3:P3"/>
    <mergeCell ref="L4:L15"/>
    <mergeCell ref="L16:L27"/>
    <mergeCell ref="L2:L3"/>
    <mergeCell ref="L28:L39"/>
    <mergeCell ref="A1:L1"/>
    <mergeCell ref="K2:K3"/>
    <mergeCell ref="A2:A3"/>
    <mergeCell ref="B2:B3"/>
    <mergeCell ref="G2:G3"/>
    <mergeCell ref="H2:H3"/>
    <mergeCell ref="I2:I3"/>
    <mergeCell ref="J2:J3"/>
    <mergeCell ref="C2:F3"/>
    <mergeCell ref="A52:A55"/>
    <mergeCell ref="A56:A59"/>
    <mergeCell ref="A60:A63"/>
    <mergeCell ref="A64:A67"/>
    <mergeCell ref="A68:A71"/>
    <mergeCell ref="A72:A75"/>
    <mergeCell ref="A76:A79"/>
    <mergeCell ref="A80:A83"/>
    <mergeCell ref="A84:A87"/>
    <mergeCell ref="A88:A91"/>
    <mergeCell ref="G5:K7"/>
    <mergeCell ref="G9:K11"/>
    <mergeCell ref="G13:K15"/>
    <mergeCell ref="G17:K19"/>
    <mergeCell ref="G101:K103"/>
    <mergeCell ref="G21:K23"/>
    <mergeCell ref="G25:K27"/>
    <mergeCell ref="G29:K31"/>
    <mergeCell ref="G33:K35"/>
    <mergeCell ref="G37:K39"/>
    <mergeCell ref="L92:L106"/>
    <mergeCell ref="A104:A106"/>
    <mergeCell ref="B104:B106"/>
    <mergeCell ref="G105:J106"/>
    <mergeCell ref="G93:K95"/>
    <mergeCell ref="G97:K99"/>
    <mergeCell ref="A92:A95"/>
    <mergeCell ref="A96:A99"/>
    <mergeCell ref="A100:A103"/>
    <mergeCell ref="L40:L51"/>
    <mergeCell ref="L52:L63"/>
    <mergeCell ref="L64:L75"/>
    <mergeCell ref="G73:K75"/>
    <mergeCell ref="G77:K79"/>
    <mergeCell ref="G53:K55"/>
    <mergeCell ref="G57:K59"/>
    <mergeCell ref="G61:K63"/>
    <mergeCell ref="G65:K67"/>
    <mergeCell ref="G69:K71"/>
    <mergeCell ref="G41:K43"/>
    <mergeCell ref="G45:K47"/>
    <mergeCell ref="L76:L91"/>
    <mergeCell ref="G81:K83"/>
    <mergeCell ref="G85:K87"/>
    <mergeCell ref="G89:K91"/>
  </mergeCells>
  <phoneticPr fontId="4" type="noConversion"/>
  <conditionalFormatting sqref="F10">
    <cfRule type="cellIs" dxfId="124" priority="28" operator="equal">
      <formula>"Ногоон"</formula>
    </cfRule>
    <cfRule type="cellIs" dxfId="123" priority="29" operator="equal">
      <formula>"Улаан"</formula>
    </cfRule>
  </conditionalFormatting>
  <conditionalFormatting sqref="C4:K4 C8:K8 C5:G5 C6:F7 C12:K12 C9:G9 C10:F11 C100:K100 C13:G13 C14:F15 C16:K16 C20:K20 C17:G17 C18:F19 C24:K24 C21:G21 C22:F23 C25:G25 C26:F27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 C101:G101 C102:F104 G104 I104:K104 K105:K106">
    <cfRule type="cellIs" dxfId="122" priority="27" operator="equal">
      <formula>"Улаан"</formula>
    </cfRule>
  </conditionalFormatting>
  <conditionalFormatting sqref="F22">
    <cfRule type="cellIs" dxfId="121" priority="13" operator="equal">
      <formula>"Ногоон"</formula>
    </cfRule>
    <cfRule type="cellIs" dxfId="120" priority="14" operator="equal">
      <formula>"Улаан"</formula>
    </cfRule>
  </conditionalFormatting>
  <conditionalFormatting sqref="F34">
    <cfRule type="cellIs" dxfId="119" priority="11" operator="equal">
      <formula>"Ногоон"</formula>
    </cfRule>
    <cfRule type="cellIs" dxfId="118" priority="12" operator="equal">
      <formula>"Улаан"</formula>
    </cfRule>
  </conditionalFormatting>
  <conditionalFormatting sqref="F46">
    <cfRule type="cellIs" dxfId="117" priority="9" operator="equal">
      <formula>"Ногоон"</formula>
    </cfRule>
    <cfRule type="cellIs" dxfId="116" priority="10" operator="equal">
      <formula>"Улаан"</formula>
    </cfRule>
  </conditionalFormatting>
  <conditionalFormatting sqref="F58">
    <cfRule type="cellIs" dxfId="115" priority="7" operator="equal">
      <formula>"Ногоон"</formula>
    </cfRule>
    <cfRule type="cellIs" dxfId="114" priority="8" operator="equal">
      <formula>"Улаан"</formula>
    </cfRule>
  </conditionalFormatting>
  <conditionalFormatting sqref="F70">
    <cfRule type="cellIs" dxfId="113" priority="5" operator="equal">
      <formula>"Ногоон"</formula>
    </cfRule>
    <cfRule type="cellIs" dxfId="112" priority="6" operator="equal">
      <formula>"Улаан"</formula>
    </cfRule>
  </conditionalFormatting>
  <conditionalFormatting sqref="F82">
    <cfRule type="cellIs" dxfId="111" priority="3" operator="equal">
      <formula>"Ногоон"</formula>
    </cfRule>
    <cfRule type="cellIs" dxfId="110" priority="4" operator="equal">
      <formula>"Улаан"</formula>
    </cfRule>
  </conditionalFormatting>
  <conditionalFormatting sqref="F94">
    <cfRule type="cellIs" dxfId="109" priority="1" operator="equal">
      <formula>"Ногоон"</formula>
    </cfRule>
    <cfRule type="cellIs" dxfId="108" priority="2" operator="equal">
      <formula>"Улаан"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73F9B-0028-4E2C-9541-75B0D191E388}">
  <dimension ref="A1:AD113"/>
  <sheetViews>
    <sheetView topLeftCell="L4" zoomScale="165" workbookViewId="0">
      <selection activeCell="O8" sqref="O8"/>
    </sheetView>
  </sheetViews>
  <sheetFormatPr defaultRowHeight="15"/>
  <cols>
    <col min="15" max="15" width="9.7109375" bestFit="1" customWidth="1"/>
    <col min="16" max="16" width="14.5703125" bestFit="1" customWidth="1"/>
    <col min="21" max="21" width="14.5703125" bestFit="1" customWidth="1"/>
  </cols>
  <sheetData>
    <row r="1" spans="1:30">
      <c r="A1" s="77">
        <v>219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2"/>
      <c r="O1" s="3"/>
      <c r="P1" s="4"/>
      <c r="Q1" s="3"/>
      <c r="R1" s="3"/>
      <c r="S1" s="3"/>
      <c r="T1" s="3"/>
      <c r="U1" s="3"/>
      <c r="V1" s="3"/>
      <c r="W1" s="3"/>
      <c r="X1" s="3"/>
      <c r="Y1" s="2"/>
      <c r="Z1" s="3"/>
      <c r="AA1" s="3"/>
      <c r="AB1" s="3"/>
      <c r="AC1" s="3"/>
      <c r="AD1" s="3"/>
    </row>
    <row r="2" spans="1:30" ht="15" customHeight="1">
      <c r="A2" s="80" t="s">
        <v>1</v>
      </c>
      <c r="B2" s="81" t="s">
        <v>2</v>
      </c>
      <c r="C2" s="82" t="s">
        <v>3</v>
      </c>
      <c r="D2" s="83"/>
      <c r="E2" s="83"/>
      <c r="F2" s="83"/>
      <c r="G2" s="84"/>
      <c r="H2" s="88" t="s">
        <v>4</v>
      </c>
      <c r="I2" s="88" t="s">
        <v>4</v>
      </c>
      <c r="J2" s="81" t="s">
        <v>5</v>
      </c>
      <c r="K2" s="89" t="s">
        <v>6</v>
      </c>
      <c r="L2" s="81" t="s">
        <v>7</v>
      </c>
      <c r="M2" s="80" t="s">
        <v>8</v>
      </c>
      <c r="N2" s="2"/>
      <c r="P2" s="5"/>
      <c r="Q2" s="2"/>
      <c r="R2" s="2"/>
      <c r="S2" s="2"/>
      <c r="U2" s="2"/>
      <c r="V2" s="2"/>
      <c r="W2" s="2"/>
      <c r="X2" s="2"/>
      <c r="Y2" s="2"/>
      <c r="Z2" s="2"/>
      <c r="AB2" s="2"/>
      <c r="AC2" s="2"/>
      <c r="AD2" s="2"/>
    </row>
    <row r="3" spans="1:30">
      <c r="A3" s="80"/>
      <c r="B3" s="81"/>
      <c r="C3" s="85"/>
      <c r="D3" s="86"/>
      <c r="E3" s="86"/>
      <c r="F3" s="86"/>
      <c r="G3" s="87"/>
      <c r="H3" s="88"/>
      <c r="I3" s="88"/>
      <c r="J3" s="81"/>
      <c r="K3" s="89"/>
      <c r="L3" s="81"/>
      <c r="M3" s="80"/>
      <c r="N3" s="2"/>
      <c r="P3" s="90"/>
      <c r="Q3" s="90"/>
      <c r="R3" s="18"/>
      <c r="S3" s="2"/>
      <c r="T3" s="2"/>
      <c r="U3" s="2"/>
      <c r="X3" s="2"/>
      <c r="Y3" s="2"/>
      <c r="Z3" s="2"/>
      <c r="AA3" s="2"/>
      <c r="AB3" s="2"/>
      <c r="AD3" s="2"/>
    </row>
    <row r="4" spans="1:30">
      <c r="A4" s="80">
        <v>1</v>
      </c>
      <c r="B4" s="8" t="str">
        <f>INT((ROW()-4)/2)+1 &amp; TEXT(MOD(ROW()-4,2)+1,"00")</f>
        <v>101</v>
      </c>
      <c r="C4" s="9">
        <v>1</v>
      </c>
      <c r="D4" s="9">
        <v>2</v>
      </c>
      <c r="E4" s="9">
        <v>3</v>
      </c>
      <c r="F4" s="9">
        <v>4</v>
      </c>
      <c r="G4" s="9">
        <v>5</v>
      </c>
      <c r="H4" s="9">
        <v>11</v>
      </c>
      <c r="I4" s="11">
        <v>12</v>
      </c>
      <c r="J4" s="9">
        <v>13</v>
      </c>
      <c r="K4" s="9">
        <v>14</v>
      </c>
      <c r="L4" s="9">
        <v>15</v>
      </c>
      <c r="M4" s="91" t="s">
        <v>9</v>
      </c>
      <c r="O4" s="92">
        <v>46000</v>
      </c>
      <c r="P4" s="12" t="s">
        <v>10</v>
      </c>
      <c r="Q4" s="13">
        <f>SUM(Q5:Q7)</f>
        <v>750</v>
      </c>
      <c r="R4" s="73">
        <v>1</v>
      </c>
      <c r="T4" s="92" t="s">
        <v>9</v>
      </c>
      <c r="U4" s="12" t="s">
        <v>10</v>
      </c>
      <c r="V4" s="13">
        <f>SUM(V5:V7)</f>
        <v>90</v>
      </c>
      <c r="W4" s="73">
        <v>1</v>
      </c>
      <c r="Z4" s="1"/>
      <c r="AA4" s="1"/>
    </row>
    <row r="5" spans="1:30">
      <c r="A5" s="80"/>
      <c r="B5" s="8" t="str">
        <f t="shared" ref="B5:B53" si="0">INT((ROW()-4)/2)+1 &amp; TEXT(MOD(ROW()-4,2)+1,"00")</f>
        <v>102</v>
      </c>
      <c r="C5" s="9">
        <v>6</v>
      </c>
      <c r="D5" s="9">
        <v>7</v>
      </c>
      <c r="E5" s="9">
        <v>8</v>
      </c>
      <c r="F5" s="9">
        <v>9</v>
      </c>
      <c r="G5" s="9">
        <v>10</v>
      </c>
      <c r="H5" s="95"/>
      <c r="I5" s="96"/>
      <c r="J5" s="96"/>
      <c r="K5" s="96"/>
      <c r="L5" s="97"/>
      <c r="M5" s="91"/>
      <c r="O5" s="93"/>
      <c r="P5" s="14" t="s">
        <v>11</v>
      </c>
      <c r="Q5" s="13" cm="1">
        <f t="array" ref="Q5">CountByColor(C4:L103, P5)</f>
        <v>16</v>
      </c>
      <c r="R5" s="74">
        <v>2.1299999999999999E-2</v>
      </c>
      <c r="T5" s="93"/>
      <c r="U5" s="14" t="s">
        <v>11</v>
      </c>
      <c r="V5" s="13" cm="1">
        <f t="array" ref="V5">CountByColor(C4:L15, U5)</f>
        <v>2</v>
      </c>
      <c r="W5" s="74">
        <v>2.2200000000000001E-2</v>
      </c>
      <c r="Z5" s="1"/>
      <c r="AA5" s="1"/>
    </row>
    <row r="6" spans="1:30">
      <c r="A6" s="98">
        <v>2</v>
      </c>
      <c r="B6" s="8" t="str">
        <f t="shared" si="0"/>
        <v>201</v>
      </c>
      <c r="C6" s="9">
        <v>16</v>
      </c>
      <c r="D6" s="9">
        <v>17</v>
      </c>
      <c r="E6" s="9">
        <v>18</v>
      </c>
      <c r="F6" s="9">
        <v>19</v>
      </c>
      <c r="G6" s="9">
        <v>20</v>
      </c>
      <c r="H6" s="31">
        <v>26</v>
      </c>
      <c r="I6" s="31">
        <v>27</v>
      </c>
      <c r="J6" s="31">
        <v>28</v>
      </c>
      <c r="K6" s="31">
        <v>29</v>
      </c>
      <c r="L6" s="32">
        <v>30</v>
      </c>
      <c r="M6" s="91"/>
      <c r="O6" s="93"/>
      <c r="P6" s="15" t="s">
        <v>12</v>
      </c>
      <c r="Q6" s="13" cm="1">
        <f t="array" ref="Q6">CountByColor(C4:L103, P6)</f>
        <v>18</v>
      </c>
      <c r="R6" s="74">
        <v>2.4E-2</v>
      </c>
      <c r="T6" s="93"/>
      <c r="U6" s="15" t="s">
        <v>12</v>
      </c>
      <c r="V6" s="13" cm="1">
        <f t="array" ref="V6">CountByColor(C4:L15, U6)</f>
        <v>1</v>
      </c>
      <c r="W6" s="74">
        <v>1.11E-2</v>
      </c>
      <c r="Z6" s="1"/>
      <c r="AA6" s="1"/>
    </row>
    <row r="7" spans="1:30">
      <c r="A7" s="99"/>
      <c r="B7" s="8" t="str">
        <f t="shared" si="0"/>
        <v>202</v>
      </c>
      <c r="C7" s="9">
        <v>21</v>
      </c>
      <c r="D7" s="9">
        <v>22</v>
      </c>
      <c r="E7" s="9">
        <v>23</v>
      </c>
      <c r="F7" s="9">
        <v>24</v>
      </c>
      <c r="G7" s="9">
        <v>25</v>
      </c>
      <c r="H7" s="95"/>
      <c r="I7" s="96"/>
      <c r="J7" s="96"/>
      <c r="K7" s="96"/>
      <c r="L7" s="97"/>
      <c r="M7" s="91"/>
      <c r="O7" s="94"/>
      <c r="P7" s="16" t="s">
        <v>13</v>
      </c>
      <c r="Q7" s="13" cm="1">
        <f t="array" ref="Q7">CountByColor(C4:L103, P7)</f>
        <v>716</v>
      </c>
      <c r="R7" s="74">
        <v>0.95469999999999999</v>
      </c>
      <c r="T7" s="94"/>
      <c r="U7" s="16" t="s">
        <v>13</v>
      </c>
      <c r="V7" s="13" cm="1">
        <f t="array" ref="V7">CountByColor(C4:L15, U7)</f>
        <v>87</v>
      </c>
      <c r="W7" s="74">
        <v>0.9667</v>
      </c>
      <c r="Z7" s="1"/>
      <c r="AA7" s="1"/>
    </row>
    <row r="8" spans="1:30">
      <c r="A8" s="98">
        <v>3</v>
      </c>
      <c r="B8" s="8" t="str">
        <f t="shared" si="0"/>
        <v>301</v>
      </c>
      <c r="C8" s="9">
        <v>31</v>
      </c>
      <c r="D8" s="9">
        <v>32</v>
      </c>
      <c r="E8" s="11">
        <v>33</v>
      </c>
      <c r="F8" s="9">
        <v>34</v>
      </c>
      <c r="G8" s="9">
        <v>35</v>
      </c>
      <c r="H8" s="9">
        <v>41</v>
      </c>
      <c r="I8" s="9">
        <v>42</v>
      </c>
      <c r="J8" s="9">
        <v>43</v>
      </c>
      <c r="K8" s="9">
        <v>44</v>
      </c>
      <c r="L8" s="9">
        <v>45</v>
      </c>
      <c r="M8" s="91"/>
      <c r="O8" s="21"/>
      <c r="U8" s="1"/>
      <c r="V8" s="1"/>
      <c r="W8" s="1"/>
      <c r="AB8" s="1"/>
      <c r="AC8" s="1"/>
    </row>
    <row r="9" spans="1:30">
      <c r="A9" s="99"/>
      <c r="B9" s="8" t="str">
        <f t="shared" si="0"/>
        <v>302</v>
      </c>
      <c r="C9" s="9">
        <v>36</v>
      </c>
      <c r="D9" s="9">
        <v>37</v>
      </c>
      <c r="E9" s="9">
        <v>38</v>
      </c>
      <c r="F9" s="9">
        <v>39</v>
      </c>
      <c r="G9" s="9">
        <v>40</v>
      </c>
      <c r="H9" s="95"/>
      <c r="I9" s="96"/>
      <c r="J9" s="96"/>
      <c r="K9" s="96"/>
      <c r="L9" s="97"/>
      <c r="M9" s="91"/>
      <c r="T9" s="92" t="s">
        <v>14</v>
      </c>
      <c r="U9" s="12" t="s">
        <v>10</v>
      </c>
      <c r="V9" s="13">
        <f>SUM(V10:V12)</f>
        <v>90</v>
      </c>
      <c r="W9" s="73">
        <v>1</v>
      </c>
      <c r="Z9" s="1"/>
      <c r="AA9" s="1"/>
    </row>
    <row r="10" spans="1:30">
      <c r="A10" s="98">
        <v>4</v>
      </c>
      <c r="B10" s="8" t="str">
        <f t="shared" si="0"/>
        <v>401</v>
      </c>
      <c r="C10" s="9">
        <v>46</v>
      </c>
      <c r="D10" s="9">
        <v>47</v>
      </c>
      <c r="E10" s="9">
        <v>48</v>
      </c>
      <c r="F10" s="9">
        <v>49</v>
      </c>
      <c r="G10" s="9">
        <v>50</v>
      </c>
      <c r="H10" s="31">
        <v>56</v>
      </c>
      <c r="I10" s="31">
        <v>57</v>
      </c>
      <c r="J10" s="31">
        <v>58</v>
      </c>
      <c r="K10" s="31">
        <v>59</v>
      </c>
      <c r="L10" s="31">
        <v>60</v>
      </c>
      <c r="M10" s="91"/>
      <c r="T10" s="93"/>
      <c r="U10" s="14" t="s">
        <v>11</v>
      </c>
      <c r="V10" s="13" cm="1">
        <f t="array" ref="V10">CountByColor(C16:L27, U10)</f>
        <v>0</v>
      </c>
      <c r="W10" s="73">
        <v>0</v>
      </c>
      <c r="Z10" s="1"/>
      <c r="AA10" s="1"/>
    </row>
    <row r="11" spans="1:30">
      <c r="A11" s="99"/>
      <c r="B11" s="8" t="str">
        <f t="shared" si="0"/>
        <v>402</v>
      </c>
      <c r="C11" s="9">
        <v>51</v>
      </c>
      <c r="D11" s="9">
        <v>52</v>
      </c>
      <c r="E11" s="9">
        <v>53</v>
      </c>
      <c r="F11" s="9">
        <v>54</v>
      </c>
      <c r="G11" s="9">
        <v>55</v>
      </c>
      <c r="H11" s="95"/>
      <c r="I11" s="96"/>
      <c r="J11" s="96"/>
      <c r="K11" s="96"/>
      <c r="L11" s="97"/>
      <c r="M11" s="91"/>
      <c r="T11" s="93"/>
      <c r="U11" s="15" t="s">
        <v>12</v>
      </c>
      <c r="V11" s="13" cm="1">
        <f t="array" ref="V11">CountByColor(C16:L27, U11)</f>
        <v>6</v>
      </c>
      <c r="W11" s="74">
        <v>6.6699999999999995E-2</v>
      </c>
      <c r="Z11" s="1"/>
      <c r="AA11" s="1"/>
    </row>
    <row r="12" spans="1:30">
      <c r="A12" s="98">
        <v>5</v>
      </c>
      <c r="B12" s="8" t="str">
        <f t="shared" si="0"/>
        <v>501</v>
      </c>
      <c r="C12" s="9">
        <v>61</v>
      </c>
      <c r="D12" s="9">
        <v>62</v>
      </c>
      <c r="E12" s="9">
        <v>63</v>
      </c>
      <c r="F12" s="9">
        <v>64</v>
      </c>
      <c r="G12" s="9">
        <v>65</v>
      </c>
      <c r="H12" s="9">
        <v>71</v>
      </c>
      <c r="I12" s="9">
        <v>72</v>
      </c>
      <c r="J12" s="9">
        <v>73</v>
      </c>
      <c r="K12" s="9">
        <v>74</v>
      </c>
      <c r="L12" s="9">
        <v>75</v>
      </c>
      <c r="M12" s="91"/>
      <c r="T12" s="94"/>
      <c r="U12" s="16" t="s">
        <v>13</v>
      </c>
      <c r="V12" s="13" cm="1">
        <f t="array" ref="V12">CountByColor(C16:L27, U12)</f>
        <v>84</v>
      </c>
      <c r="W12" s="74">
        <v>0.93330000000000002</v>
      </c>
      <c r="Z12" s="1"/>
      <c r="AA12" s="1"/>
    </row>
    <row r="13" spans="1:30">
      <c r="A13" s="99"/>
      <c r="B13" s="8" t="str">
        <f t="shared" si="0"/>
        <v>502</v>
      </c>
      <c r="C13" s="9">
        <v>66</v>
      </c>
      <c r="D13" s="9">
        <v>67</v>
      </c>
      <c r="E13" s="9">
        <v>68</v>
      </c>
      <c r="F13" s="9">
        <v>69</v>
      </c>
      <c r="G13" s="9">
        <v>70</v>
      </c>
      <c r="H13" s="95"/>
      <c r="I13" s="96"/>
      <c r="J13" s="96"/>
      <c r="K13" s="96"/>
      <c r="L13" s="97"/>
      <c r="M13" s="91"/>
      <c r="T13" s="1"/>
      <c r="Z13" s="1"/>
      <c r="AA13" s="1"/>
    </row>
    <row r="14" spans="1:30">
      <c r="A14" s="98">
        <v>6</v>
      </c>
      <c r="B14" s="8" t="str">
        <f t="shared" si="0"/>
        <v>601</v>
      </c>
      <c r="C14" s="9">
        <v>76</v>
      </c>
      <c r="D14" s="9">
        <v>77</v>
      </c>
      <c r="E14" s="9">
        <v>78</v>
      </c>
      <c r="F14" s="9">
        <v>79</v>
      </c>
      <c r="G14" s="9">
        <v>80</v>
      </c>
      <c r="H14" s="31">
        <v>86</v>
      </c>
      <c r="I14" s="31">
        <v>87</v>
      </c>
      <c r="J14" s="31">
        <v>88</v>
      </c>
      <c r="K14" s="31">
        <v>89</v>
      </c>
      <c r="L14" s="31">
        <v>90</v>
      </c>
      <c r="M14" s="91"/>
      <c r="T14" s="92" t="s">
        <v>15</v>
      </c>
      <c r="U14" s="12" t="s">
        <v>10</v>
      </c>
      <c r="V14" s="13">
        <f>SUM(V15:V17)</f>
        <v>90</v>
      </c>
      <c r="W14" s="73">
        <v>1</v>
      </c>
      <c r="Z14" s="1"/>
      <c r="AA14" s="1"/>
    </row>
    <row r="15" spans="1:30">
      <c r="A15" s="99"/>
      <c r="B15" s="8" t="str">
        <f t="shared" si="0"/>
        <v>602</v>
      </c>
      <c r="C15" s="9">
        <v>81</v>
      </c>
      <c r="D15" s="9">
        <v>82</v>
      </c>
      <c r="E15" s="9">
        <v>83</v>
      </c>
      <c r="F15" s="9">
        <v>84</v>
      </c>
      <c r="G15" s="9">
        <v>85</v>
      </c>
      <c r="H15" s="95"/>
      <c r="I15" s="96"/>
      <c r="J15" s="96"/>
      <c r="K15" s="96"/>
      <c r="L15" s="97"/>
      <c r="M15" s="91"/>
      <c r="T15" s="93"/>
      <c r="U15" s="14" t="s">
        <v>11</v>
      </c>
      <c r="V15" s="13" cm="1">
        <f t="array" ref="V15">CountByColor(C28:L39, U15)</f>
        <v>5</v>
      </c>
      <c r="W15" s="74">
        <v>5.5599999999999997E-2</v>
      </c>
      <c r="Z15" s="1"/>
      <c r="AA15" s="1"/>
    </row>
    <row r="16" spans="1:30">
      <c r="A16" s="98">
        <v>7</v>
      </c>
      <c r="B16" s="8" t="str">
        <f t="shared" si="0"/>
        <v>701</v>
      </c>
      <c r="C16" s="9">
        <v>1</v>
      </c>
      <c r="D16" s="9">
        <v>2</v>
      </c>
      <c r="E16" s="9">
        <v>3</v>
      </c>
      <c r="F16" s="9">
        <v>4</v>
      </c>
      <c r="G16" s="9">
        <v>5</v>
      </c>
      <c r="H16" s="9">
        <v>11</v>
      </c>
      <c r="I16" s="9">
        <v>12</v>
      </c>
      <c r="J16" s="9">
        <v>13</v>
      </c>
      <c r="K16" s="9">
        <v>14</v>
      </c>
      <c r="L16" s="9">
        <v>15</v>
      </c>
      <c r="M16" s="91" t="s">
        <v>14</v>
      </c>
      <c r="T16" s="93"/>
      <c r="U16" s="15" t="s">
        <v>12</v>
      </c>
      <c r="V16" s="13" cm="1">
        <f t="array" ref="V16">CountByColor(C28:L39, U16)</f>
        <v>4</v>
      </c>
      <c r="W16" s="74">
        <v>4.4400000000000002E-2</v>
      </c>
      <c r="Z16" s="1"/>
      <c r="AA16" s="1"/>
    </row>
    <row r="17" spans="1:27">
      <c r="A17" s="99"/>
      <c r="B17" s="8" t="str">
        <f t="shared" si="0"/>
        <v>702</v>
      </c>
      <c r="C17" s="9">
        <v>6</v>
      </c>
      <c r="D17" s="9">
        <v>7</v>
      </c>
      <c r="E17" s="9">
        <v>8</v>
      </c>
      <c r="F17" s="9">
        <v>9</v>
      </c>
      <c r="G17" s="9">
        <v>10</v>
      </c>
      <c r="H17" s="95"/>
      <c r="I17" s="96"/>
      <c r="J17" s="96"/>
      <c r="K17" s="96"/>
      <c r="L17" s="97"/>
      <c r="M17" s="91"/>
      <c r="T17" s="94"/>
      <c r="U17" s="16" t="s">
        <v>13</v>
      </c>
      <c r="V17" s="13" cm="1">
        <f t="array" ref="V17">CountByColor(C28:L39, U17)</f>
        <v>81</v>
      </c>
      <c r="W17" s="74">
        <v>0.9</v>
      </c>
      <c r="Z17" s="1"/>
      <c r="AA17" s="1"/>
    </row>
    <row r="18" spans="1:27">
      <c r="A18" s="98">
        <v>8</v>
      </c>
      <c r="B18" s="8" t="str">
        <f t="shared" si="0"/>
        <v>801</v>
      </c>
      <c r="C18" s="9">
        <v>16</v>
      </c>
      <c r="D18" s="9">
        <v>17</v>
      </c>
      <c r="E18" s="9">
        <v>18</v>
      </c>
      <c r="F18" s="9">
        <v>19</v>
      </c>
      <c r="G18" s="9">
        <v>20</v>
      </c>
      <c r="H18" s="31">
        <v>26</v>
      </c>
      <c r="I18" s="31">
        <v>27</v>
      </c>
      <c r="J18" s="31">
        <v>28</v>
      </c>
      <c r="K18" s="31">
        <v>29</v>
      </c>
      <c r="L18" s="32">
        <v>30</v>
      </c>
      <c r="M18" s="91"/>
      <c r="T18" s="1"/>
      <c r="Z18" s="1"/>
      <c r="AA18" s="1"/>
    </row>
    <row r="19" spans="1:27">
      <c r="A19" s="99"/>
      <c r="B19" s="8" t="str">
        <f t="shared" si="0"/>
        <v>802</v>
      </c>
      <c r="C19" s="9">
        <v>21</v>
      </c>
      <c r="D19" s="9">
        <v>22</v>
      </c>
      <c r="E19" s="9">
        <v>23</v>
      </c>
      <c r="F19" s="9">
        <v>24</v>
      </c>
      <c r="G19" s="9">
        <v>25</v>
      </c>
      <c r="H19" s="95"/>
      <c r="I19" s="96"/>
      <c r="J19" s="96"/>
      <c r="K19" s="96"/>
      <c r="L19" s="97"/>
      <c r="M19" s="91"/>
      <c r="T19" s="92" t="s">
        <v>16</v>
      </c>
      <c r="U19" s="12" t="s">
        <v>10</v>
      </c>
      <c r="V19" s="13">
        <f>SUM(V20:V22)</f>
        <v>105</v>
      </c>
      <c r="W19" s="73">
        <v>1</v>
      </c>
      <c r="Z19" s="1"/>
      <c r="AA19" s="1"/>
    </row>
    <row r="20" spans="1:27">
      <c r="A20" s="98">
        <v>9</v>
      </c>
      <c r="B20" s="8" t="str">
        <f t="shared" si="0"/>
        <v>901</v>
      </c>
      <c r="C20" s="10">
        <v>31</v>
      </c>
      <c r="D20" s="10">
        <v>32</v>
      </c>
      <c r="E20" s="10">
        <v>33</v>
      </c>
      <c r="F20" s="10">
        <v>34</v>
      </c>
      <c r="G20" s="10">
        <v>35</v>
      </c>
      <c r="H20" s="9">
        <v>41</v>
      </c>
      <c r="I20" s="9">
        <v>42</v>
      </c>
      <c r="J20" s="9">
        <v>43</v>
      </c>
      <c r="K20" s="9">
        <v>44</v>
      </c>
      <c r="L20" s="9">
        <v>45</v>
      </c>
      <c r="M20" s="91"/>
      <c r="T20" s="93"/>
      <c r="U20" s="14" t="s">
        <v>11</v>
      </c>
      <c r="V20" s="13" cm="1">
        <f t="array" ref="V20">CountByColor(C40:L53, U20)</f>
        <v>2</v>
      </c>
      <c r="W20" s="74">
        <v>1.9E-2</v>
      </c>
      <c r="Z20" s="1"/>
      <c r="AA20" s="1"/>
    </row>
    <row r="21" spans="1:27">
      <c r="A21" s="99"/>
      <c r="B21" s="8" t="str">
        <f t="shared" si="0"/>
        <v>902</v>
      </c>
      <c r="C21" s="9">
        <v>36</v>
      </c>
      <c r="D21" s="9">
        <v>37</v>
      </c>
      <c r="E21" s="9">
        <v>38</v>
      </c>
      <c r="F21" s="9">
        <v>39</v>
      </c>
      <c r="G21" s="9">
        <v>40</v>
      </c>
      <c r="H21" s="95"/>
      <c r="I21" s="96"/>
      <c r="J21" s="96"/>
      <c r="K21" s="96"/>
      <c r="L21" s="97"/>
      <c r="M21" s="91"/>
      <c r="S21" s="1"/>
      <c r="T21" s="93"/>
      <c r="U21" s="15" t="s">
        <v>12</v>
      </c>
      <c r="V21" s="13" cm="1">
        <f t="array" ref="V21">CountByColor(C40:L53, U21)</f>
        <v>1</v>
      </c>
      <c r="W21" s="74">
        <v>9.4999999999999998E-3</v>
      </c>
      <c r="Y21" s="1"/>
      <c r="Z21" s="1"/>
    </row>
    <row r="22" spans="1:27">
      <c r="A22" s="98">
        <v>10</v>
      </c>
      <c r="B22" s="8" t="str">
        <f t="shared" si="0"/>
        <v>1001</v>
      </c>
      <c r="C22" s="9">
        <v>46</v>
      </c>
      <c r="D22" s="9">
        <v>47</v>
      </c>
      <c r="E22" s="9">
        <v>48</v>
      </c>
      <c r="F22" s="9">
        <v>49</v>
      </c>
      <c r="G22" s="9">
        <v>50</v>
      </c>
      <c r="H22" s="31">
        <v>56</v>
      </c>
      <c r="I22" s="31">
        <v>57</v>
      </c>
      <c r="J22" s="31">
        <v>58</v>
      </c>
      <c r="K22" s="31">
        <v>59</v>
      </c>
      <c r="L22" s="31">
        <v>60</v>
      </c>
      <c r="M22" s="91"/>
      <c r="T22" s="94"/>
      <c r="U22" s="16" t="s">
        <v>13</v>
      </c>
      <c r="V22" s="13" cm="1">
        <f t="array" ref="V22">CountByColor(C40:L53, U22)</f>
        <v>102</v>
      </c>
      <c r="W22" s="74">
        <v>0.97140000000000004</v>
      </c>
      <c r="Z22" s="1"/>
      <c r="AA22" s="1"/>
    </row>
    <row r="23" spans="1:27">
      <c r="A23" s="99"/>
      <c r="B23" s="8" t="str">
        <f t="shared" si="0"/>
        <v>1002</v>
      </c>
      <c r="C23" s="9">
        <v>51</v>
      </c>
      <c r="D23" s="9">
        <v>52</v>
      </c>
      <c r="E23" s="9">
        <v>53</v>
      </c>
      <c r="F23" s="9">
        <v>54</v>
      </c>
      <c r="G23" s="9">
        <v>55</v>
      </c>
      <c r="H23" s="95"/>
      <c r="I23" s="96"/>
      <c r="J23" s="96"/>
      <c r="K23" s="96"/>
      <c r="L23" s="97"/>
      <c r="M23" s="91"/>
      <c r="T23" s="1"/>
      <c r="Z23" s="1"/>
      <c r="AA23" s="1"/>
    </row>
    <row r="24" spans="1:27">
      <c r="A24" s="98">
        <v>11</v>
      </c>
      <c r="B24" s="8" t="str">
        <f t="shared" si="0"/>
        <v>1101</v>
      </c>
      <c r="C24" s="9">
        <v>61</v>
      </c>
      <c r="D24" s="9">
        <v>62</v>
      </c>
      <c r="E24" s="9">
        <v>63</v>
      </c>
      <c r="F24" s="9">
        <v>64</v>
      </c>
      <c r="G24" s="9">
        <v>65</v>
      </c>
      <c r="H24" s="9">
        <v>71</v>
      </c>
      <c r="I24" s="9">
        <v>72</v>
      </c>
      <c r="J24" s="9">
        <v>73</v>
      </c>
      <c r="K24" s="9">
        <v>74</v>
      </c>
      <c r="L24" s="9">
        <v>75</v>
      </c>
      <c r="M24" s="91"/>
      <c r="T24" s="92" t="s">
        <v>19</v>
      </c>
      <c r="U24" s="12" t="s">
        <v>10</v>
      </c>
      <c r="V24" s="13">
        <f>SUM(V25:V27)</f>
        <v>90</v>
      </c>
      <c r="W24" s="73">
        <v>1</v>
      </c>
      <c r="Z24" s="1"/>
      <c r="AA24" s="1"/>
    </row>
    <row r="25" spans="1:27">
      <c r="A25" s="99"/>
      <c r="B25" s="8" t="str">
        <f t="shared" si="0"/>
        <v>1102</v>
      </c>
      <c r="C25" s="9">
        <v>66</v>
      </c>
      <c r="D25" s="9">
        <v>67</v>
      </c>
      <c r="E25" s="9">
        <v>68</v>
      </c>
      <c r="F25" s="9">
        <v>69</v>
      </c>
      <c r="G25" s="9">
        <v>70</v>
      </c>
      <c r="H25" s="95"/>
      <c r="I25" s="96"/>
      <c r="J25" s="96"/>
      <c r="K25" s="96"/>
      <c r="L25" s="97"/>
      <c r="M25" s="91"/>
      <c r="T25" s="93"/>
      <c r="U25" s="14" t="s">
        <v>11</v>
      </c>
      <c r="V25" s="13" cm="1">
        <f t="array" ref="V25">CountByColor(C54:L65, U25)</f>
        <v>1</v>
      </c>
      <c r="W25" s="74">
        <v>8.8900000000000007E-2</v>
      </c>
      <c r="Z25" s="1"/>
      <c r="AA25" s="1"/>
    </row>
    <row r="26" spans="1:27">
      <c r="A26" s="98">
        <v>12</v>
      </c>
      <c r="B26" s="8" t="str">
        <f t="shared" si="0"/>
        <v>1201</v>
      </c>
      <c r="C26" s="9">
        <v>76</v>
      </c>
      <c r="D26" s="9">
        <v>77</v>
      </c>
      <c r="E26" s="9">
        <v>78</v>
      </c>
      <c r="F26" s="9">
        <v>79</v>
      </c>
      <c r="G26" s="9">
        <v>80</v>
      </c>
      <c r="H26" s="31">
        <v>86</v>
      </c>
      <c r="I26" s="31">
        <v>87</v>
      </c>
      <c r="J26" s="31">
        <v>88</v>
      </c>
      <c r="K26" s="31">
        <v>89</v>
      </c>
      <c r="L26" s="31">
        <v>90</v>
      </c>
      <c r="M26" s="91"/>
      <c r="T26" s="93"/>
      <c r="U26" s="15" t="s">
        <v>12</v>
      </c>
      <c r="V26" s="13" cm="1">
        <f t="array" ref="V26">CountByColor(C54:L65, U26)</f>
        <v>2</v>
      </c>
      <c r="W26" s="74">
        <v>5.5599999999999997E-2</v>
      </c>
      <c r="Z26" s="1"/>
      <c r="AA26" s="1"/>
    </row>
    <row r="27" spans="1:27">
      <c r="A27" s="99"/>
      <c r="B27" s="8" t="str">
        <f t="shared" si="0"/>
        <v>1202</v>
      </c>
      <c r="C27" s="9">
        <v>81</v>
      </c>
      <c r="D27" s="9">
        <v>82</v>
      </c>
      <c r="E27" s="9">
        <v>83</v>
      </c>
      <c r="F27" s="9">
        <v>84</v>
      </c>
      <c r="G27" s="9">
        <v>85</v>
      </c>
      <c r="H27" s="95"/>
      <c r="I27" s="96"/>
      <c r="J27" s="96"/>
      <c r="K27" s="96"/>
      <c r="L27" s="97"/>
      <c r="M27" s="91"/>
      <c r="T27" s="94"/>
      <c r="U27" s="16" t="s">
        <v>13</v>
      </c>
      <c r="V27" s="13" cm="1">
        <f t="array" ref="V27">CountByColor(C54:L65, U27)</f>
        <v>87</v>
      </c>
      <c r="W27" s="74">
        <v>0.85560000000000003</v>
      </c>
      <c r="Z27" s="1"/>
      <c r="AA27" s="1"/>
    </row>
    <row r="28" spans="1:27">
      <c r="A28" s="98">
        <v>13</v>
      </c>
      <c r="B28" s="8" t="str">
        <f t="shared" si="0"/>
        <v>1301</v>
      </c>
      <c r="C28" s="9">
        <v>1</v>
      </c>
      <c r="D28" s="9">
        <v>2</v>
      </c>
      <c r="E28" s="9">
        <v>3</v>
      </c>
      <c r="F28" s="9">
        <v>4</v>
      </c>
      <c r="G28" s="9">
        <v>5</v>
      </c>
      <c r="H28" s="9">
        <v>11</v>
      </c>
      <c r="I28" s="9">
        <v>12</v>
      </c>
      <c r="J28" s="9">
        <v>13</v>
      </c>
      <c r="K28" s="9">
        <v>14</v>
      </c>
      <c r="L28" s="9">
        <v>15</v>
      </c>
      <c r="M28" s="91" t="s">
        <v>15</v>
      </c>
      <c r="T28" s="1"/>
      <c r="Z28" s="1"/>
      <c r="AA28" s="1"/>
    </row>
    <row r="29" spans="1:27">
      <c r="A29" s="99"/>
      <c r="B29" s="8" t="str">
        <f t="shared" si="0"/>
        <v>1302</v>
      </c>
      <c r="C29" s="9">
        <v>6</v>
      </c>
      <c r="D29" s="9">
        <v>7</v>
      </c>
      <c r="E29" s="11">
        <v>8</v>
      </c>
      <c r="F29" s="9">
        <v>9</v>
      </c>
      <c r="G29" s="9">
        <v>10</v>
      </c>
      <c r="H29" s="95"/>
      <c r="I29" s="96"/>
      <c r="J29" s="96"/>
      <c r="K29" s="96"/>
      <c r="L29" s="97"/>
      <c r="M29" s="91"/>
      <c r="T29" s="92" t="s">
        <v>20</v>
      </c>
      <c r="U29" s="12" t="s">
        <v>10</v>
      </c>
      <c r="V29" s="13">
        <f>SUM(V30:V32)</f>
        <v>90</v>
      </c>
      <c r="W29" s="73">
        <v>1</v>
      </c>
      <c r="Z29" s="1"/>
      <c r="AA29" s="1"/>
    </row>
    <row r="30" spans="1:27">
      <c r="A30" s="98">
        <v>14</v>
      </c>
      <c r="B30" s="8" t="str">
        <f t="shared" si="0"/>
        <v>1401</v>
      </c>
      <c r="C30" s="9">
        <v>16</v>
      </c>
      <c r="D30" s="9">
        <v>17</v>
      </c>
      <c r="E30" s="11">
        <v>18</v>
      </c>
      <c r="F30" s="11">
        <v>19</v>
      </c>
      <c r="G30" s="9">
        <v>20</v>
      </c>
      <c r="H30" s="31">
        <v>26</v>
      </c>
      <c r="I30" s="31">
        <v>27</v>
      </c>
      <c r="J30" s="31">
        <v>28</v>
      </c>
      <c r="K30" s="31">
        <v>29</v>
      </c>
      <c r="L30" s="31">
        <v>30</v>
      </c>
      <c r="M30" s="91"/>
      <c r="T30" s="93"/>
      <c r="U30" s="14" t="s">
        <v>11</v>
      </c>
      <c r="V30" s="13" cm="1">
        <f t="array" ref="V30">CountByColor(C64:L75, U30)</f>
        <v>2</v>
      </c>
      <c r="W30" s="74">
        <v>2.2200000000000001E-2</v>
      </c>
      <c r="Z30" s="1"/>
      <c r="AA30" s="1"/>
    </row>
    <row r="31" spans="1:27">
      <c r="A31" s="99"/>
      <c r="B31" s="8" t="str">
        <f t="shared" si="0"/>
        <v>1402</v>
      </c>
      <c r="C31" s="9">
        <v>21</v>
      </c>
      <c r="D31" s="9">
        <v>22</v>
      </c>
      <c r="E31" s="9">
        <v>23</v>
      </c>
      <c r="F31" s="9">
        <v>24</v>
      </c>
      <c r="G31" s="9">
        <v>25</v>
      </c>
      <c r="H31" s="95"/>
      <c r="I31" s="96"/>
      <c r="J31" s="96"/>
      <c r="K31" s="96"/>
      <c r="L31" s="97"/>
      <c r="M31" s="91"/>
      <c r="P31" s="6"/>
      <c r="T31" s="93"/>
      <c r="U31" s="15" t="s">
        <v>12</v>
      </c>
      <c r="V31" s="13" cm="1">
        <f t="array" ref="V31">CountByColor(C64:L75, U31)</f>
        <v>0</v>
      </c>
      <c r="W31" s="73">
        <v>0</v>
      </c>
      <c r="Z31" s="1"/>
      <c r="AA31" s="1"/>
    </row>
    <row r="32" spans="1:27">
      <c r="A32" s="98">
        <v>15</v>
      </c>
      <c r="B32" s="8" t="str">
        <f t="shared" si="0"/>
        <v>1501</v>
      </c>
      <c r="C32" s="9">
        <v>31</v>
      </c>
      <c r="D32" s="9">
        <v>32</v>
      </c>
      <c r="E32" s="9">
        <v>33</v>
      </c>
      <c r="F32" s="9">
        <v>34</v>
      </c>
      <c r="G32" s="9">
        <v>35</v>
      </c>
      <c r="H32" s="9">
        <v>41</v>
      </c>
      <c r="I32" s="9">
        <v>42</v>
      </c>
      <c r="J32" s="9">
        <v>43</v>
      </c>
      <c r="K32" s="9">
        <v>44</v>
      </c>
      <c r="L32" s="9">
        <v>45</v>
      </c>
      <c r="M32" s="91"/>
      <c r="P32" s="6"/>
      <c r="T32" s="94"/>
      <c r="U32" s="16" t="s">
        <v>13</v>
      </c>
      <c r="V32" s="13" cm="1">
        <f t="array" ref="V32">CountByColor(C64:L75, U32)</f>
        <v>88</v>
      </c>
      <c r="W32" s="74">
        <v>0.9778</v>
      </c>
      <c r="Z32" s="1"/>
      <c r="AA32" s="1"/>
    </row>
    <row r="33" spans="1:27">
      <c r="A33" s="99"/>
      <c r="B33" s="8" t="str">
        <f t="shared" si="0"/>
        <v>1502</v>
      </c>
      <c r="C33" s="9">
        <v>36</v>
      </c>
      <c r="D33" s="9">
        <v>37</v>
      </c>
      <c r="E33" s="9">
        <v>38</v>
      </c>
      <c r="F33" s="9">
        <v>39</v>
      </c>
      <c r="G33" s="9">
        <v>40</v>
      </c>
      <c r="H33" s="95"/>
      <c r="I33" s="96"/>
      <c r="J33" s="96"/>
      <c r="K33" s="96"/>
      <c r="L33" s="97"/>
      <c r="M33" s="91"/>
      <c r="P33" s="6"/>
      <c r="T33" s="1"/>
      <c r="Z33" s="1"/>
      <c r="AA33" s="1"/>
    </row>
    <row r="34" spans="1:27">
      <c r="A34" s="98">
        <v>16</v>
      </c>
      <c r="B34" s="8" t="str">
        <f t="shared" si="0"/>
        <v>1601</v>
      </c>
      <c r="C34" s="9">
        <v>46</v>
      </c>
      <c r="D34" s="9">
        <v>47</v>
      </c>
      <c r="E34" s="11">
        <v>48</v>
      </c>
      <c r="F34" s="9">
        <v>49</v>
      </c>
      <c r="G34" s="10">
        <v>50</v>
      </c>
      <c r="H34" s="31">
        <v>56</v>
      </c>
      <c r="I34" s="31">
        <v>57</v>
      </c>
      <c r="J34" s="31">
        <v>58</v>
      </c>
      <c r="K34" s="31">
        <v>59</v>
      </c>
      <c r="L34" s="31">
        <v>60</v>
      </c>
      <c r="M34" s="91"/>
      <c r="P34" s="6"/>
      <c r="T34" s="92" t="s">
        <v>21</v>
      </c>
      <c r="U34" s="12" t="s">
        <v>10</v>
      </c>
      <c r="V34" s="13">
        <f>SUM(V35:V37)</f>
        <v>90</v>
      </c>
      <c r="W34" s="73">
        <v>1</v>
      </c>
      <c r="Z34" s="1"/>
      <c r="AA34" s="1"/>
    </row>
    <row r="35" spans="1:27">
      <c r="A35" s="99"/>
      <c r="B35" s="8" t="str">
        <f t="shared" si="0"/>
        <v>1602</v>
      </c>
      <c r="C35" s="9">
        <v>51</v>
      </c>
      <c r="D35" s="10">
        <v>52</v>
      </c>
      <c r="E35" s="10">
        <v>53</v>
      </c>
      <c r="F35" s="9">
        <v>54</v>
      </c>
      <c r="G35" s="10">
        <v>55</v>
      </c>
      <c r="H35" s="95"/>
      <c r="I35" s="96"/>
      <c r="J35" s="96"/>
      <c r="K35" s="96"/>
      <c r="L35" s="97"/>
      <c r="M35" s="91"/>
      <c r="P35" s="6"/>
      <c r="T35" s="93"/>
      <c r="U35" s="14" t="s">
        <v>11</v>
      </c>
      <c r="V35" s="13" cm="1">
        <f t="array" ref="V35">CountByColor(C78:L89, U35)</f>
        <v>1</v>
      </c>
      <c r="W35" s="74">
        <v>1.11E-2</v>
      </c>
      <c r="Z35" s="1"/>
      <c r="AA35" s="1"/>
    </row>
    <row r="36" spans="1:27">
      <c r="A36" s="98">
        <v>17</v>
      </c>
      <c r="B36" s="8" t="str">
        <f t="shared" si="0"/>
        <v>1701</v>
      </c>
      <c r="C36" s="9">
        <v>61</v>
      </c>
      <c r="D36" s="9">
        <v>62</v>
      </c>
      <c r="E36" s="9">
        <v>63</v>
      </c>
      <c r="F36" s="9">
        <v>64</v>
      </c>
      <c r="G36" s="9">
        <v>65</v>
      </c>
      <c r="H36" s="9">
        <v>71</v>
      </c>
      <c r="I36" s="9">
        <v>72</v>
      </c>
      <c r="J36" s="9">
        <v>73</v>
      </c>
      <c r="K36" s="9">
        <v>74</v>
      </c>
      <c r="L36" s="9">
        <v>75</v>
      </c>
      <c r="M36" s="91"/>
      <c r="O36" s="1"/>
      <c r="P36" s="6"/>
      <c r="T36" s="93"/>
      <c r="U36" s="15" t="s">
        <v>12</v>
      </c>
      <c r="V36" s="13" cm="1">
        <f t="array" ref="V36">CountByColor(C78:L89, U36)</f>
        <v>0</v>
      </c>
      <c r="W36" s="73">
        <v>0</v>
      </c>
      <c r="Z36" s="1"/>
      <c r="AA36" s="1"/>
    </row>
    <row r="37" spans="1:27">
      <c r="A37" s="99"/>
      <c r="B37" s="8" t="str">
        <f t="shared" si="0"/>
        <v>1702</v>
      </c>
      <c r="C37" s="9">
        <v>66</v>
      </c>
      <c r="D37" s="9">
        <v>67</v>
      </c>
      <c r="E37" s="9">
        <v>68</v>
      </c>
      <c r="F37" s="9">
        <v>69</v>
      </c>
      <c r="G37" s="9">
        <v>70</v>
      </c>
      <c r="H37" s="95"/>
      <c r="I37" s="96"/>
      <c r="J37" s="96"/>
      <c r="K37" s="96"/>
      <c r="L37" s="97"/>
      <c r="M37" s="91"/>
      <c r="O37" s="1"/>
      <c r="P37" s="6"/>
      <c r="T37" s="94"/>
      <c r="U37" s="16" t="s">
        <v>13</v>
      </c>
      <c r="V37" s="13" cm="1">
        <f t="array" ref="V37">CountByColor(C78:L89, U37)</f>
        <v>89</v>
      </c>
      <c r="W37" s="74">
        <v>0.9889</v>
      </c>
      <c r="Z37" s="1"/>
      <c r="AA37" s="1"/>
    </row>
    <row r="38" spans="1:27">
      <c r="A38" s="98">
        <v>18</v>
      </c>
      <c r="B38" s="8" t="str">
        <f t="shared" si="0"/>
        <v>1801</v>
      </c>
      <c r="C38" s="9">
        <v>76</v>
      </c>
      <c r="D38" s="9">
        <v>77</v>
      </c>
      <c r="E38" s="9">
        <v>78</v>
      </c>
      <c r="F38" s="11">
        <v>79</v>
      </c>
      <c r="G38" s="9">
        <v>80</v>
      </c>
      <c r="H38" s="31">
        <v>86</v>
      </c>
      <c r="I38" s="31">
        <v>87</v>
      </c>
      <c r="J38" s="31">
        <v>88</v>
      </c>
      <c r="K38" s="31">
        <v>89</v>
      </c>
      <c r="L38" s="31">
        <v>90</v>
      </c>
      <c r="M38" s="91"/>
      <c r="O38" s="1"/>
      <c r="T38" s="1"/>
      <c r="Z38" s="1"/>
      <c r="AA38" s="1"/>
    </row>
    <row r="39" spans="1:27">
      <c r="A39" s="99"/>
      <c r="B39" s="8" t="str">
        <f t="shared" si="0"/>
        <v>1802</v>
      </c>
      <c r="C39" s="9">
        <v>81</v>
      </c>
      <c r="D39" s="9">
        <v>82</v>
      </c>
      <c r="E39" s="9">
        <v>83</v>
      </c>
      <c r="F39" s="9">
        <v>84</v>
      </c>
      <c r="G39" s="9">
        <v>85</v>
      </c>
      <c r="H39" s="95"/>
      <c r="I39" s="96"/>
      <c r="J39" s="96"/>
      <c r="K39" s="96"/>
      <c r="L39" s="97"/>
      <c r="M39" s="91"/>
      <c r="O39" s="17"/>
      <c r="T39" s="92" t="s">
        <v>22</v>
      </c>
      <c r="U39" s="12" t="s">
        <v>10</v>
      </c>
      <c r="V39" s="13">
        <f>SUM(V40:V42)</f>
        <v>105</v>
      </c>
      <c r="W39" s="73">
        <v>1</v>
      </c>
      <c r="Z39" s="1"/>
      <c r="AA39" s="1"/>
    </row>
    <row r="40" spans="1:27">
      <c r="A40" s="98">
        <v>19</v>
      </c>
      <c r="B40" s="8" t="str">
        <f t="shared" si="0"/>
        <v>1901</v>
      </c>
      <c r="C40" s="9">
        <v>1</v>
      </c>
      <c r="D40" s="9">
        <v>2</v>
      </c>
      <c r="E40" s="9">
        <v>3</v>
      </c>
      <c r="F40" s="9">
        <v>4</v>
      </c>
      <c r="G40" s="9">
        <v>5</v>
      </c>
      <c r="H40" s="9">
        <v>11</v>
      </c>
      <c r="I40" s="9">
        <v>12</v>
      </c>
      <c r="J40" s="9">
        <v>13</v>
      </c>
      <c r="K40" s="9">
        <v>14</v>
      </c>
      <c r="L40" s="9">
        <v>15</v>
      </c>
      <c r="M40" s="100" t="s">
        <v>16</v>
      </c>
      <c r="N40" s="1"/>
      <c r="O40" s="6"/>
      <c r="S40" s="1"/>
      <c r="T40" s="93"/>
      <c r="U40" s="14" t="s">
        <v>11</v>
      </c>
      <c r="V40" s="13" cm="1">
        <f t="array" ref="V40">CountByColor(C90:L103, U40)</f>
        <v>3</v>
      </c>
      <c r="W40" s="74">
        <v>2.86E-2</v>
      </c>
      <c r="Y40" s="1"/>
      <c r="Z40" s="1"/>
    </row>
    <row r="41" spans="1:27">
      <c r="A41" s="99"/>
      <c r="B41" s="8" t="str">
        <f t="shared" si="0"/>
        <v>1902</v>
      </c>
      <c r="C41" s="9">
        <v>6</v>
      </c>
      <c r="D41" s="9">
        <v>7</v>
      </c>
      <c r="E41" s="9">
        <v>8</v>
      </c>
      <c r="F41" s="9">
        <v>9</v>
      </c>
      <c r="G41" s="9">
        <v>10</v>
      </c>
      <c r="H41" s="95"/>
      <c r="I41" s="96"/>
      <c r="J41" s="96"/>
      <c r="K41" s="96"/>
      <c r="L41" s="97"/>
      <c r="M41" s="101"/>
      <c r="N41" s="1"/>
      <c r="O41" s="6"/>
      <c r="S41" s="1"/>
      <c r="T41" s="93"/>
      <c r="U41" s="15" t="s">
        <v>12</v>
      </c>
      <c r="V41" s="13" cm="1">
        <f t="array" ref="V41">CountByColor(C90:L103, U41)</f>
        <v>3</v>
      </c>
      <c r="W41" s="74">
        <v>2.86E-2</v>
      </c>
      <c r="Y41" s="1"/>
      <c r="Z41" s="1"/>
    </row>
    <row r="42" spans="1:27">
      <c r="A42" s="98">
        <v>20</v>
      </c>
      <c r="B42" s="8" t="str">
        <f t="shared" si="0"/>
        <v>2001</v>
      </c>
      <c r="C42" s="9">
        <v>16</v>
      </c>
      <c r="D42" s="9">
        <v>17</v>
      </c>
      <c r="E42" s="9">
        <v>18</v>
      </c>
      <c r="F42" s="9">
        <v>19</v>
      </c>
      <c r="G42" s="9">
        <v>20</v>
      </c>
      <c r="H42" s="31">
        <v>26</v>
      </c>
      <c r="I42" s="31">
        <v>27</v>
      </c>
      <c r="J42" s="31">
        <v>28</v>
      </c>
      <c r="K42" s="31">
        <v>29</v>
      </c>
      <c r="L42" s="31">
        <v>30</v>
      </c>
      <c r="M42" s="101"/>
      <c r="N42" s="1"/>
      <c r="O42" s="6"/>
      <c r="S42" s="1"/>
      <c r="T42" s="94"/>
      <c r="U42" s="16" t="s">
        <v>13</v>
      </c>
      <c r="V42" s="13" cm="1">
        <f t="array" ref="V42">CountByColor(C90:L103, U42)</f>
        <v>99</v>
      </c>
      <c r="W42" s="74">
        <v>0.94289999999999996</v>
      </c>
      <c r="Z42" s="1"/>
    </row>
    <row r="43" spans="1:27">
      <c r="A43" s="99"/>
      <c r="B43" s="8" t="str">
        <f t="shared" si="0"/>
        <v>2002</v>
      </c>
      <c r="C43" s="9">
        <v>21</v>
      </c>
      <c r="D43" s="9">
        <v>22</v>
      </c>
      <c r="E43" s="9">
        <v>23</v>
      </c>
      <c r="F43" s="9">
        <v>24</v>
      </c>
      <c r="G43" s="9">
        <v>25</v>
      </c>
      <c r="H43" s="95"/>
      <c r="I43" s="96"/>
      <c r="J43" s="96"/>
      <c r="K43" s="96"/>
      <c r="L43" s="97"/>
      <c r="M43" s="101"/>
      <c r="N43" s="1"/>
      <c r="O43" s="6"/>
      <c r="S43" s="1"/>
      <c r="Y43" s="1"/>
      <c r="Z43" s="1"/>
    </row>
    <row r="44" spans="1:27">
      <c r="A44" s="98">
        <v>21</v>
      </c>
      <c r="B44" s="8" t="str">
        <f t="shared" si="0"/>
        <v>2101</v>
      </c>
      <c r="C44" s="9">
        <v>31</v>
      </c>
      <c r="D44" s="9">
        <v>32</v>
      </c>
      <c r="E44" s="9">
        <v>33</v>
      </c>
      <c r="F44" s="9">
        <v>34</v>
      </c>
      <c r="G44" s="9">
        <v>35</v>
      </c>
      <c r="H44" s="9">
        <v>41</v>
      </c>
      <c r="I44" s="9">
        <v>42</v>
      </c>
      <c r="J44" s="9">
        <v>43</v>
      </c>
      <c r="K44" s="9">
        <v>44</v>
      </c>
      <c r="L44" s="9">
        <v>45</v>
      </c>
      <c r="M44" s="101"/>
      <c r="N44" s="1"/>
      <c r="O44" s="6"/>
      <c r="S44" s="1"/>
      <c r="Y44" s="1"/>
      <c r="Z44" s="1"/>
    </row>
    <row r="45" spans="1:27">
      <c r="A45" s="99"/>
      <c r="B45" s="8" t="str">
        <f t="shared" si="0"/>
        <v>2102</v>
      </c>
      <c r="C45" s="9">
        <v>36</v>
      </c>
      <c r="D45" s="9">
        <v>37</v>
      </c>
      <c r="E45" s="9">
        <v>38</v>
      </c>
      <c r="F45" s="9">
        <v>39</v>
      </c>
      <c r="G45" s="9">
        <v>40</v>
      </c>
      <c r="H45" s="95"/>
      <c r="I45" s="96"/>
      <c r="J45" s="96"/>
      <c r="K45" s="96"/>
      <c r="L45" s="97"/>
      <c r="M45" s="101"/>
      <c r="N45" s="1"/>
      <c r="O45" s="6"/>
      <c r="S45" s="1"/>
      <c r="Y45" s="1"/>
      <c r="Z45" s="1"/>
    </row>
    <row r="46" spans="1:27">
      <c r="A46" s="98">
        <v>22</v>
      </c>
      <c r="B46" s="8" t="str">
        <f t="shared" si="0"/>
        <v>2201</v>
      </c>
      <c r="C46" s="9">
        <v>46</v>
      </c>
      <c r="D46" s="9">
        <v>47</v>
      </c>
      <c r="E46" s="9">
        <v>48</v>
      </c>
      <c r="F46" s="11">
        <v>49</v>
      </c>
      <c r="G46" s="9">
        <v>50</v>
      </c>
      <c r="H46" s="31">
        <v>56</v>
      </c>
      <c r="I46" s="31">
        <v>57</v>
      </c>
      <c r="J46" s="31">
        <v>58</v>
      </c>
      <c r="K46" s="31">
        <v>59</v>
      </c>
      <c r="L46" s="31">
        <v>60</v>
      </c>
      <c r="M46" s="101"/>
      <c r="N46" s="1"/>
      <c r="O46" s="6"/>
      <c r="S46" s="1"/>
      <c r="Y46" s="1"/>
      <c r="Z46" s="1"/>
    </row>
    <row r="47" spans="1:27">
      <c r="A47" s="99"/>
      <c r="B47" s="8" t="str">
        <f t="shared" si="0"/>
        <v>2202</v>
      </c>
      <c r="C47" s="9">
        <v>51</v>
      </c>
      <c r="D47" s="11">
        <v>52</v>
      </c>
      <c r="E47" s="9">
        <v>53</v>
      </c>
      <c r="F47" s="9">
        <v>54</v>
      </c>
      <c r="G47" s="9">
        <v>55</v>
      </c>
      <c r="H47" s="95"/>
      <c r="I47" s="96"/>
      <c r="J47" s="96"/>
      <c r="K47" s="96"/>
      <c r="L47" s="97"/>
      <c r="M47" s="101"/>
      <c r="N47" s="1"/>
      <c r="O47" s="6"/>
      <c r="S47" s="1"/>
      <c r="Y47" s="1"/>
      <c r="Z47" s="1"/>
    </row>
    <row r="48" spans="1:27">
      <c r="A48" s="98">
        <v>23</v>
      </c>
      <c r="B48" s="8" t="str">
        <f t="shared" si="0"/>
        <v>2301</v>
      </c>
      <c r="C48" s="9">
        <v>61</v>
      </c>
      <c r="D48" s="9">
        <v>62</v>
      </c>
      <c r="E48" s="9">
        <v>63</v>
      </c>
      <c r="F48" s="9">
        <v>64</v>
      </c>
      <c r="G48" s="9">
        <v>65</v>
      </c>
      <c r="H48" s="9">
        <v>71</v>
      </c>
      <c r="I48" s="9">
        <v>72</v>
      </c>
      <c r="J48" s="9">
        <v>73</v>
      </c>
      <c r="K48" s="9">
        <v>74</v>
      </c>
      <c r="L48" s="9">
        <v>75</v>
      </c>
      <c r="M48" s="101"/>
      <c r="N48" s="1"/>
      <c r="O48" s="6"/>
      <c r="P48" s="6"/>
      <c r="S48" s="1"/>
      <c r="Y48" s="1"/>
      <c r="Z48" s="1"/>
    </row>
    <row r="49" spans="1:26">
      <c r="A49" s="99"/>
      <c r="B49" s="8" t="str">
        <f t="shared" si="0"/>
        <v>2302</v>
      </c>
      <c r="C49" s="9">
        <v>66</v>
      </c>
      <c r="D49" s="9">
        <v>67</v>
      </c>
      <c r="E49" s="9">
        <v>68</v>
      </c>
      <c r="F49" s="9">
        <v>69</v>
      </c>
      <c r="G49" s="9">
        <v>70</v>
      </c>
      <c r="H49" s="95"/>
      <c r="I49" s="96"/>
      <c r="J49" s="96"/>
      <c r="K49" s="96"/>
      <c r="L49" s="97"/>
      <c r="M49" s="101"/>
      <c r="N49" s="1"/>
      <c r="O49" s="6"/>
      <c r="P49" s="6"/>
      <c r="S49" s="1"/>
      <c r="Y49" s="1"/>
      <c r="Z49" s="1"/>
    </row>
    <row r="50" spans="1:26">
      <c r="A50" s="98">
        <v>24</v>
      </c>
      <c r="B50" s="8" t="str">
        <f t="shared" si="0"/>
        <v>2401</v>
      </c>
      <c r="C50" s="9">
        <v>76</v>
      </c>
      <c r="D50" s="9">
        <v>77</v>
      </c>
      <c r="E50" s="9">
        <v>78</v>
      </c>
      <c r="F50" s="9">
        <v>79</v>
      </c>
      <c r="G50" s="9">
        <v>80</v>
      </c>
      <c r="H50" s="31">
        <v>86</v>
      </c>
      <c r="I50" s="31">
        <v>87</v>
      </c>
      <c r="J50" s="31">
        <v>88</v>
      </c>
      <c r="K50" s="31">
        <v>89</v>
      </c>
      <c r="L50" s="31">
        <v>90</v>
      </c>
      <c r="M50" s="101"/>
      <c r="P50" s="6"/>
    </row>
    <row r="51" spans="1:26">
      <c r="A51" s="99"/>
      <c r="B51" s="8" t="str">
        <f t="shared" si="0"/>
        <v>2402</v>
      </c>
      <c r="C51" s="9">
        <v>81</v>
      </c>
      <c r="D51" s="9">
        <v>82</v>
      </c>
      <c r="E51" s="9">
        <v>83</v>
      </c>
      <c r="F51" s="9">
        <v>84</v>
      </c>
      <c r="G51" s="9">
        <v>85</v>
      </c>
      <c r="H51" s="95"/>
      <c r="I51" s="96"/>
      <c r="J51" s="96"/>
      <c r="K51" s="96"/>
      <c r="L51" s="97"/>
      <c r="M51" s="101"/>
      <c r="P51" s="6"/>
    </row>
    <row r="52" spans="1:26">
      <c r="A52" s="98">
        <v>25</v>
      </c>
      <c r="B52" s="8" t="str">
        <f t="shared" si="0"/>
        <v>2501</v>
      </c>
      <c r="C52" s="9">
        <v>91</v>
      </c>
      <c r="D52" s="9">
        <v>92</v>
      </c>
      <c r="E52" s="9">
        <v>93</v>
      </c>
      <c r="F52" s="9">
        <v>94</v>
      </c>
      <c r="G52" s="9">
        <v>95</v>
      </c>
      <c r="H52" s="9">
        <v>101</v>
      </c>
      <c r="I52" s="9">
        <v>102</v>
      </c>
      <c r="J52" s="9">
        <v>103</v>
      </c>
      <c r="K52" s="9">
        <v>104</v>
      </c>
      <c r="L52" s="9">
        <v>105</v>
      </c>
      <c r="M52" s="101"/>
      <c r="P52" s="6"/>
    </row>
    <row r="53" spans="1:26">
      <c r="A53" s="99"/>
      <c r="B53" s="8" t="str">
        <f t="shared" si="0"/>
        <v>2502</v>
      </c>
      <c r="C53" s="9">
        <v>96</v>
      </c>
      <c r="D53" s="9">
        <v>97</v>
      </c>
      <c r="E53" s="10">
        <v>98</v>
      </c>
      <c r="F53" s="9">
        <v>99</v>
      </c>
      <c r="G53" s="9">
        <v>100</v>
      </c>
      <c r="H53" s="95"/>
      <c r="I53" s="96"/>
      <c r="J53" s="96"/>
      <c r="K53" s="96"/>
      <c r="L53" s="97"/>
      <c r="M53" s="102"/>
      <c r="P53" s="6"/>
    </row>
    <row r="54" spans="1:26">
      <c r="A54" s="80">
        <v>1</v>
      </c>
      <c r="B54" s="8">
        <f>(INT((ROW()-54)/2)+1)*100 + (MOD(ROW()-54,2)+3)</f>
        <v>103</v>
      </c>
      <c r="C54" s="9">
        <v>1</v>
      </c>
      <c r="D54" s="9">
        <v>2</v>
      </c>
      <c r="E54" s="9">
        <v>3</v>
      </c>
      <c r="F54" s="9">
        <v>4</v>
      </c>
      <c r="G54" s="9">
        <v>5</v>
      </c>
      <c r="H54" s="9">
        <v>11</v>
      </c>
      <c r="I54" s="9">
        <v>12</v>
      </c>
      <c r="J54" s="9">
        <v>13</v>
      </c>
      <c r="K54" s="9">
        <v>14</v>
      </c>
      <c r="L54" s="9">
        <v>15</v>
      </c>
      <c r="M54" s="91" t="s">
        <v>18</v>
      </c>
      <c r="P54" s="6"/>
    </row>
    <row r="55" spans="1:26">
      <c r="A55" s="80"/>
      <c r="B55" s="8">
        <f t="shared" ref="B55:B103" si="1">(INT((ROW()-54)/2)+1)*100 + (MOD(ROW()-54,2)+3)</f>
        <v>104</v>
      </c>
      <c r="C55" s="9">
        <v>6</v>
      </c>
      <c r="D55" s="9">
        <v>7</v>
      </c>
      <c r="E55" s="9">
        <v>8</v>
      </c>
      <c r="F55" s="9">
        <v>9</v>
      </c>
      <c r="G55" s="9">
        <v>10</v>
      </c>
      <c r="H55" s="95"/>
      <c r="I55" s="96"/>
      <c r="J55" s="96"/>
      <c r="K55" s="96"/>
      <c r="L55" s="97"/>
      <c r="M55" s="91"/>
      <c r="P55" s="6"/>
    </row>
    <row r="56" spans="1:26">
      <c r="A56" s="80">
        <v>2</v>
      </c>
      <c r="B56" s="8">
        <f t="shared" si="1"/>
        <v>203</v>
      </c>
      <c r="C56" s="9">
        <v>16</v>
      </c>
      <c r="D56" s="9">
        <v>17</v>
      </c>
      <c r="E56" s="9">
        <v>18</v>
      </c>
      <c r="F56" s="9">
        <v>19</v>
      </c>
      <c r="G56" s="9">
        <v>20</v>
      </c>
      <c r="H56" s="31">
        <v>26</v>
      </c>
      <c r="I56" s="31">
        <v>27</v>
      </c>
      <c r="J56" s="31">
        <v>28</v>
      </c>
      <c r="K56" s="31">
        <v>29</v>
      </c>
      <c r="L56" s="32">
        <v>30</v>
      </c>
      <c r="M56" s="91"/>
      <c r="P56" s="6"/>
    </row>
    <row r="57" spans="1:26">
      <c r="A57" s="80"/>
      <c r="B57" s="8">
        <f t="shared" si="1"/>
        <v>204</v>
      </c>
      <c r="C57" s="9">
        <v>21</v>
      </c>
      <c r="D57" s="9">
        <v>22</v>
      </c>
      <c r="E57" s="9">
        <v>23</v>
      </c>
      <c r="F57" s="9">
        <v>24</v>
      </c>
      <c r="G57" s="9">
        <v>25</v>
      </c>
      <c r="H57" s="95"/>
      <c r="I57" s="96"/>
      <c r="J57" s="96"/>
      <c r="K57" s="96"/>
      <c r="L57" s="97"/>
      <c r="M57" s="91"/>
      <c r="P57" s="6"/>
    </row>
    <row r="58" spans="1:26">
      <c r="A58" s="80">
        <v>3</v>
      </c>
      <c r="B58" s="8">
        <f t="shared" si="1"/>
        <v>303</v>
      </c>
      <c r="C58" s="9">
        <v>31</v>
      </c>
      <c r="D58" s="9">
        <v>32</v>
      </c>
      <c r="E58" s="9">
        <v>33</v>
      </c>
      <c r="F58" s="9">
        <v>34</v>
      </c>
      <c r="G58" s="9">
        <v>35</v>
      </c>
      <c r="H58" s="9">
        <v>41</v>
      </c>
      <c r="I58" s="9">
        <v>42</v>
      </c>
      <c r="J58" s="9">
        <v>43</v>
      </c>
      <c r="K58" s="9">
        <v>44</v>
      </c>
      <c r="L58" s="9">
        <v>45</v>
      </c>
      <c r="M58" s="91"/>
      <c r="P58" s="6"/>
    </row>
    <row r="59" spans="1:26">
      <c r="A59" s="80"/>
      <c r="B59" s="8">
        <f t="shared" si="1"/>
        <v>304</v>
      </c>
      <c r="C59" s="9">
        <v>36</v>
      </c>
      <c r="D59" s="9">
        <v>37</v>
      </c>
      <c r="E59" s="9">
        <v>38</v>
      </c>
      <c r="F59" s="9">
        <v>39</v>
      </c>
      <c r="G59" s="9">
        <v>40</v>
      </c>
      <c r="H59" s="95"/>
      <c r="I59" s="96"/>
      <c r="J59" s="96"/>
      <c r="K59" s="96"/>
      <c r="L59" s="97"/>
      <c r="M59" s="91"/>
      <c r="P59" s="6"/>
    </row>
    <row r="60" spans="1:26">
      <c r="A60" s="80">
        <v>4</v>
      </c>
      <c r="B60" s="8">
        <f t="shared" si="1"/>
        <v>403</v>
      </c>
      <c r="C60" s="9">
        <v>46</v>
      </c>
      <c r="D60" s="9">
        <v>47</v>
      </c>
      <c r="E60" s="9">
        <v>48</v>
      </c>
      <c r="F60" s="9">
        <v>49</v>
      </c>
      <c r="G60" s="9">
        <v>50</v>
      </c>
      <c r="H60" s="31">
        <v>56</v>
      </c>
      <c r="I60" s="31">
        <v>57</v>
      </c>
      <c r="J60" s="31">
        <v>58</v>
      </c>
      <c r="K60" s="31">
        <v>59</v>
      </c>
      <c r="L60" s="31">
        <v>60</v>
      </c>
      <c r="M60" s="91"/>
      <c r="P60" s="6"/>
    </row>
    <row r="61" spans="1:26">
      <c r="A61" s="80"/>
      <c r="B61" s="8">
        <f t="shared" si="1"/>
        <v>404</v>
      </c>
      <c r="C61" s="9">
        <v>51</v>
      </c>
      <c r="D61" s="9">
        <v>52</v>
      </c>
      <c r="E61" s="9">
        <v>53</v>
      </c>
      <c r="F61" s="11">
        <v>54</v>
      </c>
      <c r="G61" s="9">
        <v>55</v>
      </c>
      <c r="H61" s="95"/>
      <c r="I61" s="96"/>
      <c r="J61" s="96"/>
      <c r="K61" s="96"/>
      <c r="L61" s="97"/>
      <c r="M61" s="91"/>
      <c r="P61" s="6"/>
    </row>
    <row r="62" spans="1:26">
      <c r="A62" s="80">
        <v>5</v>
      </c>
      <c r="B62" s="8">
        <f t="shared" si="1"/>
        <v>503</v>
      </c>
      <c r="C62" s="9">
        <v>61</v>
      </c>
      <c r="D62" s="9">
        <v>62</v>
      </c>
      <c r="E62" s="9">
        <v>63</v>
      </c>
      <c r="F62" s="9">
        <v>64</v>
      </c>
      <c r="G62" s="9">
        <v>65</v>
      </c>
      <c r="H62" s="9">
        <v>71</v>
      </c>
      <c r="I62" s="9">
        <v>72</v>
      </c>
      <c r="J62" s="9">
        <v>73</v>
      </c>
      <c r="K62" s="9">
        <v>74</v>
      </c>
      <c r="L62" s="9">
        <v>75</v>
      </c>
      <c r="M62" s="91"/>
      <c r="P62" s="6"/>
    </row>
    <row r="63" spans="1:26">
      <c r="A63" s="80"/>
      <c r="B63" s="8">
        <f t="shared" si="1"/>
        <v>504</v>
      </c>
      <c r="C63" s="9">
        <v>66</v>
      </c>
      <c r="D63" s="9">
        <v>67</v>
      </c>
      <c r="E63" s="9">
        <v>68</v>
      </c>
      <c r="F63" s="10">
        <v>69</v>
      </c>
      <c r="G63" s="9">
        <v>70</v>
      </c>
      <c r="H63" s="95"/>
      <c r="I63" s="96"/>
      <c r="J63" s="96"/>
      <c r="K63" s="96"/>
      <c r="L63" s="97"/>
      <c r="M63" s="91"/>
      <c r="P63" s="6"/>
    </row>
    <row r="64" spans="1:26">
      <c r="A64" s="80">
        <v>6</v>
      </c>
      <c r="B64" s="8">
        <f t="shared" si="1"/>
        <v>603</v>
      </c>
      <c r="C64" s="9">
        <v>76</v>
      </c>
      <c r="D64" s="9">
        <v>77</v>
      </c>
      <c r="E64" s="9">
        <v>78</v>
      </c>
      <c r="F64" s="9">
        <v>79</v>
      </c>
      <c r="G64" s="9">
        <v>80</v>
      </c>
      <c r="H64" s="31">
        <v>86</v>
      </c>
      <c r="I64" s="31">
        <v>87</v>
      </c>
      <c r="J64" s="31">
        <v>88</v>
      </c>
      <c r="K64" s="31">
        <v>89</v>
      </c>
      <c r="L64" s="31">
        <v>90</v>
      </c>
      <c r="M64" s="91"/>
      <c r="P64" s="6"/>
    </row>
    <row r="65" spans="1:16">
      <c r="A65" s="80"/>
      <c r="B65" s="8">
        <f t="shared" si="1"/>
        <v>604</v>
      </c>
      <c r="C65" s="9">
        <v>81</v>
      </c>
      <c r="D65" s="9">
        <v>82</v>
      </c>
      <c r="E65" s="9">
        <v>83</v>
      </c>
      <c r="F65" s="9">
        <v>84</v>
      </c>
      <c r="G65" s="9">
        <v>85</v>
      </c>
      <c r="H65" s="95"/>
      <c r="I65" s="96"/>
      <c r="J65" s="96"/>
      <c r="K65" s="96"/>
      <c r="L65" s="97"/>
      <c r="M65" s="91"/>
      <c r="P65" s="6"/>
    </row>
    <row r="66" spans="1:16">
      <c r="A66" s="80">
        <v>7</v>
      </c>
      <c r="B66" s="8">
        <f t="shared" si="1"/>
        <v>703</v>
      </c>
      <c r="C66" s="9">
        <v>1</v>
      </c>
      <c r="D66" s="9">
        <v>2</v>
      </c>
      <c r="E66" s="9">
        <v>3</v>
      </c>
      <c r="F66" s="9">
        <v>4</v>
      </c>
      <c r="G66" s="9">
        <v>5</v>
      </c>
      <c r="H66" s="9">
        <v>11</v>
      </c>
      <c r="I66" s="9">
        <v>12</v>
      </c>
      <c r="J66" s="9">
        <v>13</v>
      </c>
      <c r="K66" s="9">
        <v>14</v>
      </c>
      <c r="L66" s="9">
        <v>15</v>
      </c>
      <c r="M66" s="91" t="s">
        <v>20</v>
      </c>
      <c r="P66" s="6"/>
    </row>
    <row r="67" spans="1:16">
      <c r="A67" s="80"/>
      <c r="B67" s="8">
        <f t="shared" si="1"/>
        <v>704</v>
      </c>
      <c r="C67" s="9">
        <v>6</v>
      </c>
      <c r="D67" s="11">
        <v>7</v>
      </c>
      <c r="E67" s="11">
        <v>8</v>
      </c>
      <c r="F67" s="9">
        <v>9</v>
      </c>
      <c r="G67" s="9">
        <v>10</v>
      </c>
      <c r="H67" s="95"/>
      <c r="I67" s="96"/>
      <c r="J67" s="96"/>
      <c r="K67" s="96"/>
      <c r="L67" s="97"/>
      <c r="M67" s="91"/>
      <c r="P67" s="6"/>
    </row>
    <row r="68" spans="1:16">
      <c r="A68" s="80">
        <v>8</v>
      </c>
      <c r="B68" s="8">
        <f t="shared" si="1"/>
        <v>803</v>
      </c>
      <c r="C68" s="9">
        <v>16</v>
      </c>
      <c r="D68" s="9">
        <v>17</v>
      </c>
      <c r="E68" s="9">
        <v>18</v>
      </c>
      <c r="F68" s="9">
        <v>19</v>
      </c>
      <c r="G68" s="9">
        <v>20</v>
      </c>
      <c r="H68" s="31">
        <v>26</v>
      </c>
      <c r="I68" s="31">
        <v>27</v>
      </c>
      <c r="J68" s="31">
        <v>28</v>
      </c>
      <c r="K68" s="31">
        <v>29</v>
      </c>
      <c r="L68" s="31">
        <v>30</v>
      </c>
      <c r="M68" s="91"/>
      <c r="P68" s="6"/>
    </row>
    <row r="69" spans="1:16">
      <c r="A69" s="80"/>
      <c r="B69" s="8">
        <f t="shared" si="1"/>
        <v>804</v>
      </c>
      <c r="C69" s="9">
        <v>21</v>
      </c>
      <c r="D69" s="9">
        <v>22</v>
      </c>
      <c r="E69" s="9">
        <v>23</v>
      </c>
      <c r="F69" s="9">
        <v>24</v>
      </c>
      <c r="G69" s="9">
        <v>25</v>
      </c>
      <c r="H69" s="95"/>
      <c r="I69" s="96"/>
      <c r="J69" s="96"/>
      <c r="K69" s="96"/>
      <c r="L69" s="97"/>
      <c r="M69" s="91"/>
      <c r="P69" s="6"/>
    </row>
    <row r="70" spans="1:16">
      <c r="A70" s="80">
        <v>9</v>
      </c>
      <c r="B70" s="8">
        <f t="shared" si="1"/>
        <v>903</v>
      </c>
      <c r="C70" s="9">
        <v>31</v>
      </c>
      <c r="D70" s="9">
        <v>32</v>
      </c>
      <c r="E70" s="9">
        <v>33</v>
      </c>
      <c r="F70" s="9">
        <v>34</v>
      </c>
      <c r="G70" s="9">
        <v>35</v>
      </c>
      <c r="H70" s="9">
        <v>41</v>
      </c>
      <c r="I70" s="9">
        <v>42</v>
      </c>
      <c r="J70" s="9">
        <v>43</v>
      </c>
      <c r="K70" s="9">
        <v>44</v>
      </c>
      <c r="L70" s="9">
        <v>45</v>
      </c>
      <c r="M70" s="91"/>
      <c r="P70" s="6"/>
    </row>
    <row r="71" spans="1:16">
      <c r="A71" s="80"/>
      <c r="B71" s="8">
        <f t="shared" si="1"/>
        <v>904</v>
      </c>
      <c r="C71" s="9">
        <v>36</v>
      </c>
      <c r="D71" s="9">
        <v>37</v>
      </c>
      <c r="E71" s="9">
        <v>38</v>
      </c>
      <c r="F71" s="9">
        <v>39</v>
      </c>
      <c r="G71" s="9">
        <v>40</v>
      </c>
      <c r="H71" s="95"/>
      <c r="I71" s="96"/>
      <c r="J71" s="96"/>
      <c r="K71" s="96"/>
      <c r="L71" s="97"/>
      <c r="M71" s="91"/>
      <c r="P71" s="6"/>
    </row>
    <row r="72" spans="1:16">
      <c r="A72" s="80">
        <v>10</v>
      </c>
      <c r="B72" s="8">
        <f t="shared" si="1"/>
        <v>1003</v>
      </c>
      <c r="C72" s="9">
        <v>46</v>
      </c>
      <c r="D72" s="9">
        <v>47</v>
      </c>
      <c r="E72" s="9">
        <v>48</v>
      </c>
      <c r="F72" s="9">
        <v>49</v>
      </c>
      <c r="G72" s="9">
        <v>50</v>
      </c>
      <c r="H72" s="31">
        <v>56</v>
      </c>
      <c r="I72" s="31">
        <v>57</v>
      </c>
      <c r="J72" s="31">
        <v>58</v>
      </c>
      <c r="K72" s="31">
        <v>59</v>
      </c>
      <c r="L72" s="31">
        <v>60</v>
      </c>
      <c r="M72" s="91"/>
      <c r="P72" s="6"/>
    </row>
    <row r="73" spans="1:16">
      <c r="A73" s="80"/>
      <c r="B73" s="8">
        <f t="shared" si="1"/>
        <v>1004</v>
      </c>
      <c r="C73" s="9">
        <v>51</v>
      </c>
      <c r="D73" s="9">
        <v>52</v>
      </c>
      <c r="E73" s="9">
        <v>53</v>
      </c>
      <c r="F73" s="9">
        <v>54</v>
      </c>
      <c r="G73" s="9">
        <v>55</v>
      </c>
      <c r="H73" s="95"/>
      <c r="I73" s="96"/>
      <c r="J73" s="96"/>
      <c r="K73" s="96"/>
      <c r="L73" s="97"/>
      <c r="M73" s="91"/>
      <c r="P73" s="6"/>
    </row>
    <row r="74" spans="1:16">
      <c r="A74" s="98">
        <v>11</v>
      </c>
      <c r="B74" s="8">
        <f t="shared" si="1"/>
        <v>1103</v>
      </c>
      <c r="C74" s="9">
        <v>61</v>
      </c>
      <c r="D74" s="9">
        <v>62</v>
      </c>
      <c r="E74" s="9">
        <v>63</v>
      </c>
      <c r="F74" s="9">
        <v>64</v>
      </c>
      <c r="G74" s="9">
        <v>65</v>
      </c>
      <c r="H74" s="9">
        <v>71</v>
      </c>
      <c r="I74" s="9">
        <v>72</v>
      </c>
      <c r="J74" s="9">
        <v>73</v>
      </c>
      <c r="K74" s="9">
        <v>74</v>
      </c>
      <c r="L74" s="9">
        <v>75</v>
      </c>
      <c r="M74" s="91"/>
      <c r="P74" s="6"/>
    </row>
    <row r="75" spans="1:16">
      <c r="A75" s="99"/>
      <c r="B75" s="8">
        <f t="shared" si="1"/>
        <v>1104</v>
      </c>
      <c r="C75" s="9">
        <v>66</v>
      </c>
      <c r="D75" s="9">
        <v>67</v>
      </c>
      <c r="E75" s="9">
        <v>68</v>
      </c>
      <c r="F75" s="9">
        <v>69</v>
      </c>
      <c r="G75" s="9">
        <v>70</v>
      </c>
      <c r="H75" s="95"/>
      <c r="I75" s="96"/>
      <c r="J75" s="96"/>
      <c r="K75" s="96"/>
      <c r="L75" s="97"/>
      <c r="M75" s="91"/>
      <c r="P75" s="6"/>
    </row>
    <row r="76" spans="1:16">
      <c r="A76" s="80">
        <v>12</v>
      </c>
      <c r="B76" s="8">
        <f t="shared" si="1"/>
        <v>1203</v>
      </c>
      <c r="C76" s="9">
        <v>76</v>
      </c>
      <c r="D76" s="9">
        <v>77</v>
      </c>
      <c r="E76" s="9">
        <v>78</v>
      </c>
      <c r="F76" s="9">
        <v>79</v>
      </c>
      <c r="G76" s="10">
        <v>80</v>
      </c>
      <c r="H76" s="31">
        <v>86</v>
      </c>
      <c r="I76" s="31">
        <v>87</v>
      </c>
      <c r="J76" s="31">
        <v>88</v>
      </c>
      <c r="K76" s="31">
        <v>89</v>
      </c>
      <c r="L76" s="31">
        <v>90</v>
      </c>
      <c r="M76" s="91"/>
      <c r="P76" s="6"/>
    </row>
    <row r="77" spans="1:16">
      <c r="A77" s="80"/>
      <c r="B77" s="8">
        <f t="shared" si="1"/>
        <v>1204</v>
      </c>
      <c r="C77" s="9">
        <v>81</v>
      </c>
      <c r="D77" s="9">
        <v>82</v>
      </c>
      <c r="E77" s="9">
        <v>83</v>
      </c>
      <c r="F77" s="9">
        <v>84</v>
      </c>
      <c r="G77" s="9">
        <v>85</v>
      </c>
      <c r="H77" s="95"/>
      <c r="I77" s="96"/>
      <c r="J77" s="96"/>
      <c r="K77" s="96"/>
      <c r="L77" s="97"/>
      <c r="M77" s="91"/>
      <c r="P77" s="6"/>
    </row>
    <row r="78" spans="1:16">
      <c r="A78" s="80">
        <v>13</v>
      </c>
      <c r="B78" s="8">
        <f t="shared" si="1"/>
        <v>1303</v>
      </c>
      <c r="C78" s="9">
        <v>1</v>
      </c>
      <c r="D78" s="9">
        <v>2</v>
      </c>
      <c r="E78" s="9">
        <v>3</v>
      </c>
      <c r="F78" s="9">
        <v>4</v>
      </c>
      <c r="G78" s="9">
        <v>5</v>
      </c>
      <c r="H78" s="9">
        <v>11</v>
      </c>
      <c r="I78" s="9">
        <v>12</v>
      </c>
      <c r="J78" s="9">
        <v>13</v>
      </c>
      <c r="K78" s="9">
        <v>14</v>
      </c>
      <c r="L78" s="9">
        <v>15</v>
      </c>
      <c r="M78" s="91" t="s">
        <v>21</v>
      </c>
      <c r="P78" s="6"/>
    </row>
    <row r="79" spans="1:16">
      <c r="A79" s="80"/>
      <c r="B79" s="8">
        <f t="shared" si="1"/>
        <v>1304</v>
      </c>
      <c r="C79" s="9">
        <v>6</v>
      </c>
      <c r="D79" s="9">
        <v>7</v>
      </c>
      <c r="E79" s="9">
        <v>8</v>
      </c>
      <c r="F79" s="9">
        <v>9</v>
      </c>
      <c r="G79" s="9">
        <v>10</v>
      </c>
      <c r="H79" s="95"/>
      <c r="I79" s="96"/>
      <c r="J79" s="96"/>
      <c r="K79" s="96"/>
      <c r="L79" s="97"/>
      <c r="M79" s="91"/>
      <c r="P79" s="6"/>
    </row>
    <row r="80" spans="1:16">
      <c r="A80" s="80">
        <v>14</v>
      </c>
      <c r="B80" s="8">
        <f t="shared" si="1"/>
        <v>1403</v>
      </c>
      <c r="C80" s="9">
        <v>16</v>
      </c>
      <c r="D80" s="9">
        <v>17</v>
      </c>
      <c r="E80" s="9">
        <v>18</v>
      </c>
      <c r="F80" s="9">
        <v>19</v>
      </c>
      <c r="G80" s="9">
        <v>20</v>
      </c>
      <c r="H80" s="31">
        <v>26</v>
      </c>
      <c r="I80" s="31">
        <v>27</v>
      </c>
      <c r="J80" s="31">
        <v>28</v>
      </c>
      <c r="K80" s="31">
        <v>29</v>
      </c>
      <c r="L80" s="31">
        <v>30</v>
      </c>
      <c r="M80" s="91"/>
      <c r="P80" s="6"/>
    </row>
    <row r="81" spans="1:20">
      <c r="A81" s="80"/>
      <c r="B81" s="8">
        <f t="shared" si="1"/>
        <v>1404</v>
      </c>
      <c r="C81" s="9">
        <v>21</v>
      </c>
      <c r="D81" s="9">
        <v>22</v>
      </c>
      <c r="E81" s="9">
        <v>23</v>
      </c>
      <c r="F81" s="9">
        <v>24</v>
      </c>
      <c r="G81" s="9">
        <v>25</v>
      </c>
      <c r="H81" s="95"/>
      <c r="I81" s="96"/>
      <c r="J81" s="96"/>
      <c r="K81" s="96"/>
      <c r="L81" s="97"/>
      <c r="M81" s="91"/>
      <c r="P81" s="6"/>
    </row>
    <row r="82" spans="1:20">
      <c r="A82" s="80">
        <v>15</v>
      </c>
      <c r="B82" s="8">
        <f t="shared" si="1"/>
        <v>1503</v>
      </c>
      <c r="C82" s="9">
        <v>31</v>
      </c>
      <c r="D82" s="9">
        <v>32</v>
      </c>
      <c r="E82" s="9">
        <v>33</v>
      </c>
      <c r="F82" s="9">
        <v>34</v>
      </c>
      <c r="G82" s="9">
        <v>35</v>
      </c>
      <c r="H82" s="9">
        <v>41</v>
      </c>
      <c r="I82" s="9">
        <v>42</v>
      </c>
      <c r="J82" s="9">
        <v>43</v>
      </c>
      <c r="K82" s="9">
        <v>44</v>
      </c>
      <c r="L82" s="9">
        <v>45</v>
      </c>
      <c r="M82" s="91"/>
      <c r="P82" s="6"/>
    </row>
    <row r="83" spans="1:20">
      <c r="A83" s="80"/>
      <c r="B83" s="8">
        <f t="shared" si="1"/>
        <v>1504</v>
      </c>
      <c r="C83" s="9">
        <v>36</v>
      </c>
      <c r="D83" s="9">
        <v>37</v>
      </c>
      <c r="E83" s="9">
        <v>38</v>
      </c>
      <c r="F83" s="9">
        <v>39</v>
      </c>
      <c r="G83" s="9">
        <v>40</v>
      </c>
      <c r="H83" s="95"/>
      <c r="I83" s="96"/>
      <c r="J83" s="96"/>
      <c r="K83" s="96"/>
      <c r="L83" s="97"/>
      <c r="M83" s="91"/>
      <c r="P83" s="6"/>
    </row>
    <row r="84" spans="1:20">
      <c r="A84" s="80">
        <v>16</v>
      </c>
      <c r="B84" s="8">
        <f t="shared" si="1"/>
        <v>1603</v>
      </c>
      <c r="C84" s="9">
        <v>46</v>
      </c>
      <c r="D84" s="9">
        <v>47</v>
      </c>
      <c r="E84" s="9">
        <v>48</v>
      </c>
      <c r="F84" s="9">
        <v>49</v>
      </c>
      <c r="G84" s="9">
        <v>50</v>
      </c>
      <c r="H84" s="31">
        <v>56</v>
      </c>
      <c r="I84" s="31">
        <v>57</v>
      </c>
      <c r="J84" s="31">
        <v>58</v>
      </c>
      <c r="K84" s="31">
        <v>59</v>
      </c>
      <c r="L84" s="31">
        <v>60</v>
      </c>
      <c r="M84" s="91"/>
      <c r="P84" s="6"/>
    </row>
    <row r="85" spans="1:20">
      <c r="A85" s="80"/>
      <c r="B85" s="8">
        <f t="shared" si="1"/>
        <v>1604</v>
      </c>
      <c r="C85" s="9">
        <v>51</v>
      </c>
      <c r="D85" s="9">
        <v>52</v>
      </c>
      <c r="E85" s="9">
        <v>53</v>
      </c>
      <c r="F85" s="9">
        <v>54</v>
      </c>
      <c r="G85" s="9">
        <v>55</v>
      </c>
      <c r="H85" s="95"/>
      <c r="I85" s="96"/>
      <c r="J85" s="96"/>
      <c r="K85" s="96"/>
      <c r="L85" s="97"/>
      <c r="M85" s="91"/>
      <c r="P85" s="6"/>
    </row>
    <row r="86" spans="1:20">
      <c r="A86" s="80">
        <v>17</v>
      </c>
      <c r="B86" s="8">
        <f t="shared" si="1"/>
        <v>1703</v>
      </c>
      <c r="C86" s="9">
        <v>61</v>
      </c>
      <c r="D86" s="11">
        <v>62</v>
      </c>
      <c r="E86" s="9">
        <v>63</v>
      </c>
      <c r="F86" s="9">
        <v>64</v>
      </c>
      <c r="G86" s="9">
        <v>65</v>
      </c>
      <c r="H86" s="9">
        <v>71</v>
      </c>
      <c r="I86" s="9">
        <v>72</v>
      </c>
      <c r="J86" s="9">
        <v>73</v>
      </c>
      <c r="K86" s="9">
        <v>74</v>
      </c>
      <c r="L86" s="9">
        <v>75</v>
      </c>
      <c r="M86" s="91"/>
    </row>
    <row r="87" spans="1:20">
      <c r="A87" s="80"/>
      <c r="B87" s="8">
        <f t="shared" si="1"/>
        <v>1704</v>
      </c>
      <c r="C87" s="9">
        <v>66</v>
      </c>
      <c r="D87" s="9">
        <v>67</v>
      </c>
      <c r="E87" s="9">
        <v>68</v>
      </c>
      <c r="F87" s="9">
        <v>69</v>
      </c>
      <c r="G87" s="9">
        <v>70</v>
      </c>
      <c r="H87" s="95"/>
      <c r="I87" s="96"/>
      <c r="J87" s="96"/>
      <c r="K87" s="96"/>
      <c r="L87" s="97"/>
      <c r="M87" s="91"/>
    </row>
    <row r="88" spans="1:20">
      <c r="A88" s="80">
        <v>18</v>
      </c>
      <c r="B88" s="8">
        <f t="shared" si="1"/>
        <v>1803</v>
      </c>
      <c r="C88" s="9">
        <v>76</v>
      </c>
      <c r="D88" s="9">
        <v>77</v>
      </c>
      <c r="E88" s="9">
        <v>78</v>
      </c>
      <c r="F88" s="9">
        <v>79</v>
      </c>
      <c r="G88" s="9">
        <v>80</v>
      </c>
      <c r="H88" s="31">
        <v>86</v>
      </c>
      <c r="I88" s="31">
        <v>87</v>
      </c>
      <c r="J88" s="31">
        <v>88</v>
      </c>
      <c r="K88" s="31">
        <v>89</v>
      </c>
      <c r="L88" s="31">
        <v>90</v>
      </c>
      <c r="M88" s="91"/>
      <c r="O88" s="6"/>
    </row>
    <row r="89" spans="1:20">
      <c r="A89" s="80"/>
      <c r="B89" s="8">
        <f t="shared" si="1"/>
        <v>1804</v>
      </c>
      <c r="C89" s="9">
        <v>81</v>
      </c>
      <c r="D89" s="9">
        <v>82</v>
      </c>
      <c r="E89" s="9">
        <v>83</v>
      </c>
      <c r="F89" s="9">
        <v>84</v>
      </c>
      <c r="G89" s="9">
        <v>85</v>
      </c>
      <c r="H89" s="95"/>
      <c r="I89" s="96"/>
      <c r="J89" s="96"/>
      <c r="K89" s="96"/>
      <c r="L89" s="97"/>
      <c r="M89" s="91"/>
      <c r="O89" s="6"/>
    </row>
    <row r="90" spans="1:20">
      <c r="A90" s="80">
        <v>19</v>
      </c>
      <c r="B90" s="8">
        <f t="shared" si="1"/>
        <v>1903</v>
      </c>
      <c r="C90" s="9">
        <v>1</v>
      </c>
      <c r="D90" s="9">
        <v>2</v>
      </c>
      <c r="E90" s="11">
        <v>3</v>
      </c>
      <c r="F90" s="11">
        <v>4</v>
      </c>
      <c r="G90" s="9">
        <v>5</v>
      </c>
      <c r="H90" s="9">
        <v>11</v>
      </c>
      <c r="I90" s="9">
        <v>12</v>
      </c>
      <c r="J90" s="9">
        <v>13</v>
      </c>
      <c r="K90" s="9">
        <v>14</v>
      </c>
      <c r="L90" s="9">
        <v>15</v>
      </c>
      <c r="M90" s="100" t="s">
        <v>22</v>
      </c>
      <c r="O90" s="6"/>
    </row>
    <row r="91" spans="1:20">
      <c r="A91" s="80"/>
      <c r="B91" s="8">
        <f t="shared" si="1"/>
        <v>1904</v>
      </c>
      <c r="C91" s="9">
        <v>6</v>
      </c>
      <c r="D91" s="9">
        <v>7</v>
      </c>
      <c r="E91" s="9">
        <v>8</v>
      </c>
      <c r="F91" s="9">
        <v>9</v>
      </c>
      <c r="G91" s="9">
        <v>10</v>
      </c>
      <c r="H91" s="95"/>
      <c r="I91" s="96"/>
      <c r="J91" s="96"/>
      <c r="K91" s="96"/>
      <c r="L91" s="97"/>
      <c r="M91" s="101"/>
      <c r="O91" s="6"/>
    </row>
    <row r="92" spans="1:20">
      <c r="A92" s="80">
        <v>20</v>
      </c>
      <c r="B92" s="8">
        <f t="shared" si="1"/>
        <v>2003</v>
      </c>
      <c r="C92" s="9">
        <v>16</v>
      </c>
      <c r="D92" s="9">
        <v>17</v>
      </c>
      <c r="E92" s="9">
        <v>18</v>
      </c>
      <c r="F92" s="10">
        <v>19</v>
      </c>
      <c r="G92" s="9">
        <v>20</v>
      </c>
      <c r="H92" s="31">
        <v>26</v>
      </c>
      <c r="I92" s="31">
        <v>27</v>
      </c>
      <c r="J92" s="31">
        <v>28</v>
      </c>
      <c r="K92" s="31">
        <v>29</v>
      </c>
      <c r="L92" s="31">
        <v>30</v>
      </c>
      <c r="M92" s="101"/>
      <c r="O92" s="6"/>
      <c r="T92" s="18"/>
    </row>
    <row r="93" spans="1:20">
      <c r="A93" s="80"/>
      <c r="B93" s="8">
        <f t="shared" si="1"/>
        <v>2004</v>
      </c>
      <c r="C93" s="9">
        <v>21</v>
      </c>
      <c r="D93" s="9">
        <v>22</v>
      </c>
      <c r="E93" s="9">
        <v>23</v>
      </c>
      <c r="F93" s="9">
        <v>24</v>
      </c>
      <c r="G93" s="9">
        <v>25</v>
      </c>
      <c r="H93" s="95"/>
      <c r="I93" s="96"/>
      <c r="J93" s="96"/>
      <c r="K93" s="96"/>
      <c r="L93" s="97"/>
      <c r="M93" s="101"/>
      <c r="O93" s="6"/>
    </row>
    <row r="94" spans="1:20">
      <c r="A94" s="80">
        <v>21</v>
      </c>
      <c r="B94" s="8">
        <f t="shared" si="1"/>
        <v>2103</v>
      </c>
      <c r="C94" s="9">
        <v>31</v>
      </c>
      <c r="D94" s="9">
        <v>32</v>
      </c>
      <c r="E94" s="9">
        <v>33</v>
      </c>
      <c r="F94" s="9">
        <v>34</v>
      </c>
      <c r="G94" s="9">
        <v>35</v>
      </c>
      <c r="H94" s="9">
        <v>41</v>
      </c>
      <c r="I94" s="9">
        <v>42</v>
      </c>
      <c r="J94" s="9">
        <v>43</v>
      </c>
      <c r="K94" s="9">
        <v>44</v>
      </c>
      <c r="L94" s="9">
        <v>45</v>
      </c>
      <c r="M94" s="101"/>
      <c r="O94" s="6"/>
    </row>
    <row r="95" spans="1:20">
      <c r="A95" s="80"/>
      <c r="B95" s="8">
        <f t="shared" si="1"/>
        <v>2104</v>
      </c>
      <c r="C95" s="9">
        <v>36</v>
      </c>
      <c r="D95" s="9">
        <v>37</v>
      </c>
      <c r="E95" s="9">
        <v>38</v>
      </c>
      <c r="F95" s="9">
        <v>39</v>
      </c>
      <c r="G95" s="9">
        <v>40</v>
      </c>
      <c r="H95" s="95"/>
      <c r="I95" s="96"/>
      <c r="J95" s="96"/>
      <c r="K95" s="96"/>
      <c r="L95" s="97"/>
      <c r="M95" s="101"/>
      <c r="O95" s="6"/>
    </row>
    <row r="96" spans="1:20">
      <c r="A96" s="80">
        <v>22</v>
      </c>
      <c r="B96" s="8">
        <f t="shared" si="1"/>
        <v>2203</v>
      </c>
      <c r="C96" s="9">
        <v>46</v>
      </c>
      <c r="D96" s="10">
        <v>47</v>
      </c>
      <c r="E96" s="10">
        <v>48</v>
      </c>
      <c r="F96" s="9">
        <v>49</v>
      </c>
      <c r="G96" s="9">
        <v>50</v>
      </c>
      <c r="H96" s="31">
        <v>56</v>
      </c>
      <c r="I96" s="31">
        <v>57</v>
      </c>
      <c r="J96" s="31">
        <v>58</v>
      </c>
      <c r="K96" s="31">
        <v>59</v>
      </c>
      <c r="L96" s="31">
        <v>60</v>
      </c>
      <c r="M96" s="101"/>
      <c r="O96" s="6"/>
    </row>
    <row r="97" spans="1:16">
      <c r="A97" s="80"/>
      <c r="B97" s="8">
        <f t="shared" si="1"/>
        <v>2204</v>
      </c>
      <c r="C97" s="9">
        <v>51</v>
      </c>
      <c r="D97" s="9">
        <v>52</v>
      </c>
      <c r="E97" s="9">
        <v>53</v>
      </c>
      <c r="F97" s="9">
        <v>54</v>
      </c>
      <c r="G97" s="11">
        <v>55</v>
      </c>
      <c r="H97" s="95"/>
      <c r="I97" s="96"/>
      <c r="J97" s="96"/>
      <c r="K97" s="96"/>
      <c r="L97" s="97"/>
      <c r="M97" s="101"/>
      <c r="O97" s="6"/>
    </row>
    <row r="98" spans="1:16">
      <c r="A98" s="80">
        <v>23</v>
      </c>
      <c r="B98" s="8">
        <f t="shared" si="1"/>
        <v>2303</v>
      </c>
      <c r="C98" s="9">
        <v>61</v>
      </c>
      <c r="D98" s="9">
        <v>62</v>
      </c>
      <c r="E98" s="9">
        <v>63</v>
      </c>
      <c r="F98" s="9">
        <v>64</v>
      </c>
      <c r="G98" s="9">
        <v>65</v>
      </c>
      <c r="H98" s="9">
        <v>71</v>
      </c>
      <c r="I98" s="9">
        <v>72</v>
      </c>
      <c r="J98" s="9">
        <v>73</v>
      </c>
      <c r="K98" s="9">
        <v>74</v>
      </c>
      <c r="L98" s="9">
        <v>75</v>
      </c>
      <c r="M98" s="101"/>
      <c r="O98" s="6"/>
      <c r="P98" s="6"/>
    </row>
    <row r="99" spans="1:16">
      <c r="A99" s="80"/>
      <c r="B99" s="8">
        <f t="shared" si="1"/>
        <v>2304</v>
      </c>
      <c r="C99" s="9">
        <v>66</v>
      </c>
      <c r="D99" s="9">
        <v>67</v>
      </c>
      <c r="E99" s="9">
        <v>68</v>
      </c>
      <c r="F99" s="9">
        <v>69</v>
      </c>
      <c r="G99" s="9">
        <v>70</v>
      </c>
      <c r="H99" s="95"/>
      <c r="I99" s="96"/>
      <c r="J99" s="96"/>
      <c r="K99" s="96"/>
      <c r="L99" s="97"/>
      <c r="M99" s="101"/>
      <c r="O99" s="6"/>
      <c r="P99" s="6"/>
    </row>
    <row r="100" spans="1:16">
      <c r="A100" s="80">
        <v>24</v>
      </c>
      <c r="B100" s="8">
        <f t="shared" si="1"/>
        <v>2403</v>
      </c>
      <c r="C100" s="9">
        <v>76</v>
      </c>
      <c r="D100" s="9">
        <v>77</v>
      </c>
      <c r="E100" s="9">
        <v>78</v>
      </c>
      <c r="F100" s="9">
        <v>79</v>
      </c>
      <c r="G100" s="9">
        <v>80</v>
      </c>
      <c r="H100" s="31">
        <v>86</v>
      </c>
      <c r="I100" s="31">
        <v>87</v>
      </c>
      <c r="J100" s="31">
        <v>88</v>
      </c>
      <c r="K100" s="31">
        <v>89</v>
      </c>
      <c r="L100" s="31">
        <v>90</v>
      </c>
      <c r="M100" s="101"/>
      <c r="P100" s="6"/>
    </row>
    <row r="101" spans="1:16">
      <c r="A101" s="80"/>
      <c r="B101" s="8">
        <f t="shared" si="1"/>
        <v>2404</v>
      </c>
      <c r="C101" s="9">
        <v>81</v>
      </c>
      <c r="D101" s="9">
        <v>82</v>
      </c>
      <c r="E101" s="9">
        <v>83</v>
      </c>
      <c r="F101" s="9">
        <v>84</v>
      </c>
      <c r="G101" s="9">
        <v>85</v>
      </c>
      <c r="H101" s="95"/>
      <c r="I101" s="96"/>
      <c r="J101" s="96"/>
      <c r="K101" s="96"/>
      <c r="L101" s="97"/>
      <c r="M101" s="101"/>
      <c r="P101" s="6"/>
    </row>
    <row r="102" spans="1:16">
      <c r="A102" s="80">
        <v>25</v>
      </c>
      <c r="B102" s="8">
        <f t="shared" si="1"/>
        <v>2503</v>
      </c>
      <c r="C102" s="9">
        <v>91</v>
      </c>
      <c r="D102" s="9">
        <v>92</v>
      </c>
      <c r="E102" s="9">
        <v>93</v>
      </c>
      <c r="F102" s="9">
        <v>94</v>
      </c>
      <c r="G102" s="9">
        <v>95</v>
      </c>
      <c r="H102" s="9">
        <v>101</v>
      </c>
      <c r="I102" s="9">
        <v>102</v>
      </c>
      <c r="J102" s="9">
        <v>103</v>
      </c>
      <c r="K102" s="9">
        <v>104</v>
      </c>
      <c r="L102" s="9">
        <v>105</v>
      </c>
      <c r="M102" s="101"/>
      <c r="P102" s="6"/>
    </row>
    <row r="103" spans="1:16">
      <c r="A103" s="80"/>
      <c r="B103" s="8">
        <f t="shared" si="1"/>
        <v>2504</v>
      </c>
      <c r="C103" s="9">
        <v>96</v>
      </c>
      <c r="D103" s="9">
        <v>97</v>
      </c>
      <c r="E103" s="9">
        <v>98</v>
      </c>
      <c r="F103" s="9">
        <v>99</v>
      </c>
      <c r="G103" s="9">
        <v>100</v>
      </c>
      <c r="H103" s="95"/>
      <c r="I103" s="96"/>
      <c r="J103" s="96"/>
      <c r="K103" s="96"/>
      <c r="L103" s="97"/>
      <c r="M103" s="102"/>
      <c r="P103" s="6"/>
    </row>
    <row r="104" spans="1:16">
      <c r="P104" s="6"/>
    </row>
    <row r="105" spans="1:16">
      <c r="P105" s="6"/>
    </row>
    <row r="106" spans="1:16">
      <c r="P106" s="6"/>
    </row>
    <row r="107" spans="1:16">
      <c r="P107" s="6"/>
    </row>
    <row r="108" spans="1:16">
      <c r="P108" s="6"/>
    </row>
    <row r="109" spans="1:16">
      <c r="P109" s="6"/>
    </row>
    <row r="110" spans="1:16">
      <c r="P110" s="6"/>
    </row>
    <row r="111" spans="1:16">
      <c r="P111" s="6"/>
    </row>
    <row r="112" spans="1:16">
      <c r="P112" s="6"/>
    </row>
    <row r="113" spans="16:16">
      <c r="P113" s="6"/>
    </row>
  </sheetData>
  <mergeCells count="128">
    <mergeCell ref="A1:M1"/>
    <mergeCell ref="A2:A3"/>
    <mergeCell ref="B2:B3"/>
    <mergeCell ref="A24:A25"/>
    <mergeCell ref="A26:A27"/>
    <mergeCell ref="H2:H3"/>
    <mergeCell ref="A28:A29"/>
    <mergeCell ref="A30:A31"/>
    <mergeCell ref="A32:A33"/>
    <mergeCell ref="T4:T7"/>
    <mergeCell ref="T9:T12"/>
    <mergeCell ref="H5:L5"/>
    <mergeCell ref="H7:L7"/>
    <mergeCell ref="T14:T17"/>
    <mergeCell ref="H21:L21"/>
    <mergeCell ref="H23:L23"/>
    <mergeCell ref="H25:L25"/>
    <mergeCell ref="H27:L27"/>
    <mergeCell ref="H19:L19"/>
    <mergeCell ref="H17:L17"/>
    <mergeCell ref="P3:Q3"/>
    <mergeCell ref="M4:M15"/>
    <mergeCell ref="O4:O7"/>
    <mergeCell ref="A4:A5"/>
    <mergeCell ref="A6:A7"/>
    <mergeCell ref="A8:A9"/>
    <mergeCell ref="A10:A11"/>
    <mergeCell ref="A12:A13"/>
    <mergeCell ref="A14:A15"/>
    <mergeCell ref="I2:I3"/>
    <mergeCell ref="J2:J3"/>
    <mergeCell ref="K2:K3"/>
    <mergeCell ref="L2:L3"/>
    <mergeCell ref="M2:M3"/>
    <mergeCell ref="H9:L9"/>
    <mergeCell ref="H11:L11"/>
    <mergeCell ref="H13:L13"/>
    <mergeCell ref="H15:L15"/>
    <mergeCell ref="C2:G3"/>
    <mergeCell ref="A74:A75"/>
    <mergeCell ref="A58:A59"/>
    <mergeCell ref="M40:M53"/>
    <mergeCell ref="M54:M65"/>
    <mergeCell ref="M28:M39"/>
    <mergeCell ref="T29:T32"/>
    <mergeCell ref="T34:T37"/>
    <mergeCell ref="T39:T42"/>
    <mergeCell ref="M16:M27"/>
    <mergeCell ref="T19:T22"/>
    <mergeCell ref="T24:T27"/>
    <mergeCell ref="H29:L29"/>
    <mergeCell ref="H31:L31"/>
    <mergeCell ref="H33:L33"/>
    <mergeCell ref="H35:L35"/>
    <mergeCell ref="H37:L37"/>
    <mergeCell ref="A34:A35"/>
    <mergeCell ref="A36:A37"/>
    <mergeCell ref="H65:L65"/>
    <mergeCell ref="H67:L67"/>
    <mergeCell ref="A40:A41"/>
    <mergeCell ref="A42:A43"/>
    <mergeCell ref="A44:A45"/>
    <mergeCell ref="A46:A47"/>
    <mergeCell ref="A100:A101"/>
    <mergeCell ref="A102:A103"/>
    <mergeCell ref="H101:L101"/>
    <mergeCell ref="H103:L103"/>
    <mergeCell ref="A76:A77"/>
    <mergeCell ref="A78:A79"/>
    <mergeCell ref="A80:A81"/>
    <mergeCell ref="A82:A83"/>
    <mergeCell ref="A84:A85"/>
    <mergeCell ref="A86:A87"/>
    <mergeCell ref="A88:A89"/>
    <mergeCell ref="A98:A99"/>
    <mergeCell ref="A90:A91"/>
    <mergeCell ref="A92:A93"/>
    <mergeCell ref="A94:A95"/>
    <mergeCell ref="A96:A97"/>
    <mergeCell ref="A70:A71"/>
    <mergeCell ref="A72:A73"/>
    <mergeCell ref="A64:A65"/>
    <mergeCell ref="A66:A67"/>
    <mergeCell ref="A68:A69"/>
    <mergeCell ref="A38:A39"/>
    <mergeCell ref="A60:A61"/>
    <mergeCell ref="A62:A63"/>
    <mergeCell ref="A48:A49"/>
    <mergeCell ref="A50:A51"/>
    <mergeCell ref="A52:A53"/>
    <mergeCell ref="A54:A55"/>
    <mergeCell ref="A56:A57"/>
    <mergeCell ref="H59:L59"/>
    <mergeCell ref="H61:L61"/>
    <mergeCell ref="H63:L63"/>
    <mergeCell ref="A16:A17"/>
    <mergeCell ref="A18:A19"/>
    <mergeCell ref="A20:A21"/>
    <mergeCell ref="A22:A23"/>
    <mergeCell ref="H49:L49"/>
    <mergeCell ref="H51:L51"/>
    <mergeCell ref="H53:L53"/>
    <mergeCell ref="H55:L55"/>
    <mergeCell ref="H57:L57"/>
    <mergeCell ref="H39:L39"/>
    <mergeCell ref="H41:L41"/>
    <mergeCell ref="H43:L43"/>
    <mergeCell ref="H45:L45"/>
    <mergeCell ref="H47:L47"/>
    <mergeCell ref="M66:M77"/>
    <mergeCell ref="M78:M89"/>
    <mergeCell ref="M90:M103"/>
    <mergeCell ref="H91:L91"/>
    <mergeCell ref="H93:L93"/>
    <mergeCell ref="H95:L95"/>
    <mergeCell ref="H97:L97"/>
    <mergeCell ref="H99:L99"/>
    <mergeCell ref="H81:L81"/>
    <mergeCell ref="H83:L83"/>
    <mergeCell ref="H85:L85"/>
    <mergeCell ref="H87:L87"/>
    <mergeCell ref="H89:L89"/>
    <mergeCell ref="H71:L71"/>
    <mergeCell ref="H73:L73"/>
    <mergeCell ref="H75:L75"/>
    <mergeCell ref="H77:L77"/>
    <mergeCell ref="H79:L79"/>
    <mergeCell ref="H69:L69"/>
  </mergeCells>
  <conditionalFormatting sqref="F10:G10">
    <cfRule type="cellIs" dxfId="107" priority="38" operator="equal">
      <formula>"Ногоон"</formula>
    </cfRule>
    <cfRule type="cellIs" dxfId="106" priority="39" operator="equal">
      <formula>"Улаан"</formula>
    </cfRule>
  </conditionalFormatting>
  <conditionalFormatting sqref="C4:L4 C5:H5 C6:G15 H8:L8 H9 H12:L12 H13 C16:L16 C17:H17 C18:G27 H20:L20 H21 H24:L24 H25 C28:L28 C29:H29 C30:G39 H32:L32 H33 H36:L36 H37 C40:L40 C41:H41 C42:G51 H44:L44 H45 H48:L48 H49 C52:L52 C53:H53 C54:L54 C55:H55 C56:G65 H58:L58 H59 H62:L62 H63 C66:L66 C67:H67 C68:G77 H70:L70 H71 H74:L74 H75 C78:L78 C79:H79 C80:G89 H82:L82 H83 H86:L86 H87 C90:L90 C91:H91 C92:G101 H94:L94 H95 H98:L98 H99 C102:L102 C103:H103">
    <cfRule type="cellIs" dxfId="105" priority="37" operator="equal">
      <formula>"Улаан"</formula>
    </cfRule>
  </conditionalFormatting>
  <conditionalFormatting sqref="F22:G22">
    <cfRule type="cellIs" dxfId="104" priority="21" operator="equal">
      <formula>"Ногоон"</formula>
    </cfRule>
    <cfRule type="cellIs" dxfId="103" priority="22" operator="equal">
      <formula>"Улаан"</formula>
    </cfRule>
  </conditionalFormatting>
  <conditionalFormatting sqref="F34:G34">
    <cfRule type="cellIs" dxfId="102" priority="19" operator="equal">
      <formula>"Ногоон"</formula>
    </cfRule>
    <cfRule type="cellIs" dxfId="101" priority="20" operator="equal">
      <formula>"Улаан"</formula>
    </cfRule>
  </conditionalFormatting>
  <conditionalFormatting sqref="F46:G46">
    <cfRule type="cellIs" dxfId="100" priority="17" operator="equal">
      <formula>"Ногоон"</formula>
    </cfRule>
    <cfRule type="cellIs" dxfId="99" priority="18" operator="equal">
      <formula>"Улаан"</formula>
    </cfRule>
  </conditionalFormatting>
  <conditionalFormatting sqref="F60:G60">
    <cfRule type="cellIs" dxfId="98" priority="7" operator="equal">
      <formula>"Ногоон"</formula>
    </cfRule>
    <cfRule type="cellIs" dxfId="97" priority="8" operator="equal">
      <formula>"Улаан"</formula>
    </cfRule>
  </conditionalFormatting>
  <conditionalFormatting sqref="F72:G72">
    <cfRule type="cellIs" dxfId="96" priority="5" operator="equal">
      <formula>"Ногоон"</formula>
    </cfRule>
    <cfRule type="cellIs" dxfId="95" priority="6" operator="equal">
      <formula>"Улаан"</formula>
    </cfRule>
  </conditionalFormatting>
  <conditionalFormatting sqref="F84:G84">
    <cfRule type="cellIs" dxfId="94" priority="3" operator="equal">
      <formula>"Ногоон"</formula>
    </cfRule>
    <cfRule type="cellIs" dxfId="93" priority="4" operator="equal">
      <formula>"Улаан"</formula>
    </cfRule>
  </conditionalFormatting>
  <conditionalFormatting sqref="F96:G96">
    <cfRule type="cellIs" dxfId="92" priority="1" operator="equal">
      <formula>"Ногоон"</formula>
    </cfRule>
    <cfRule type="cellIs" dxfId="91" priority="2" operator="equal">
      <formula>"Улаан"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1D1DC-4D53-4C69-9FBC-550D270E4BFC}">
  <dimension ref="A1:V120"/>
  <sheetViews>
    <sheetView topLeftCell="I3" zoomScale="69" workbookViewId="0">
      <selection activeCell="N8" sqref="N8"/>
    </sheetView>
  </sheetViews>
  <sheetFormatPr defaultRowHeight="15"/>
  <cols>
    <col min="14" max="14" width="11.28515625" bestFit="1" customWidth="1"/>
    <col min="15" max="15" width="14.5703125" bestFit="1" customWidth="1"/>
    <col min="20" max="20" width="14.5703125" bestFit="1" customWidth="1"/>
  </cols>
  <sheetData>
    <row r="1" spans="1:22">
      <c r="A1" s="130">
        <v>220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2"/>
      <c r="N1" s="3"/>
      <c r="O1" s="4"/>
      <c r="P1" s="3"/>
      <c r="Q1" s="3"/>
      <c r="R1" s="3"/>
      <c r="S1" s="3"/>
      <c r="T1" s="3"/>
      <c r="U1" s="3"/>
      <c r="V1" s="3"/>
    </row>
    <row r="2" spans="1:22">
      <c r="A2" s="80" t="s">
        <v>1</v>
      </c>
      <c r="B2" s="81" t="s">
        <v>2</v>
      </c>
      <c r="C2" s="81" t="s">
        <v>3</v>
      </c>
      <c r="D2" s="81"/>
      <c r="E2" s="81"/>
      <c r="F2" s="81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  <c r="V2" s="2"/>
    </row>
    <row r="3" spans="1:22">
      <c r="A3" s="80"/>
      <c r="B3" s="81"/>
      <c r="C3" s="81"/>
      <c r="D3" s="81"/>
      <c r="E3" s="81"/>
      <c r="F3" s="81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  <c r="V3" s="2"/>
    </row>
    <row r="4" spans="1:22">
      <c r="A4" s="80">
        <v>1</v>
      </c>
      <c r="B4" s="8" t="str">
        <f>INT((ROW()-4)/4)+1 &amp; TEXT(MOD(ROW()-4,4)+1,"00")</f>
        <v>101</v>
      </c>
      <c r="C4" s="9">
        <v>1</v>
      </c>
      <c r="D4" s="9">
        <v>2</v>
      </c>
      <c r="E4" s="9">
        <v>3</v>
      </c>
      <c r="F4" s="9">
        <v>4</v>
      </c>
      <c r="G4" s="11">
        <v>17</v>
      </c>
      <c r="H4" s="11">
        <v>18</v>
      </c>
      <c r="I4" s="9">
        <v>19</v>
      </c>
      <c r="J4" s="9">
        <v>20</v>
      </c>
      <c r="K4" s="9">
        <v>21</v>
      </c>
      <c r="L4" s="91" t="s">
        <v>9</v>
      </c>
      <c r="N4" s="92">
        <v>46000</v>
      </c>
      <c r="O4" s="12" t="s">
        <v>10</v>
      </c>
      <c r="P4" s="13">
        <f>SUM(P5:P7)</f>
        <v>530</v>
      </c>
      <c r="Q4" s="73">
        <v>1</v>
      </c>
      <c r="S4" s="92" t="s">
        <v>9</v>
      </c>
      <c r="T4" s="12" t="s">
        <v>10</v>
      </c>
      <c r="U4" s="13">
        <f>SUM(U5:U7)</f>
        <v>63</v>
      </c>
      <c r="V4" s="72">
        <v>1</v>
      </c>
    </row>
    <row r="5" spans="1:22">
      <c r="A5" s="80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9">
        <v>7</v>
      </c>
      <c r="F5" s="9">
        <v>8</v>
      </c>
      <c r="G5" s="81"/>
      <c r="H5" s="81"/>
      <c r="I5" s="81"/>
      <c r="J5" s="81"/>
      <c r="K5" s="81"/>
      <c r="L5" s="91"/>
      <c r="N5" s="93"/>
      <c r="O5" s="14" t="s">
        <v>11</v>
      </c>
      <c r="P5" s="13" cm="1">
        <f t="array" ref="P5">CountByColor(C4:K104, O5)</f>
        <v>50</v>
      </c>
      <c r="Q5" s="74">
        <v>9.4299999999999995E-2</v>
      </c>
      <c r="S5" s="93"/>
      <c r="T5" s="14" t="s">
        <v>11</v>
      </c>
      <c r="U5" s="13" cm="1">
        <f t="array" ref="U5">CountByColor(C4:K15, T5)</f>
        <v>6</v>
      </c>
      <c r="V5" s="71">
        <v>9.5200000000000007E-2</v>
      </c>
    </row>
    <row r="6" spans="1:22">
      <c r="A6" s="80"/>
      <c r="B6" s="8" t="str">
        <f t="shared" si="0"/>
        <v>103</v>
      </c>
      <c r="C6" s="9">
        <v>9</v>
      </c>
      <c r="D6" s="9">
        <v>10</v>
      </c>
      <c r="E6" s="9">
        <v>11</v>
      </c>
      <c r="F6" s="9">
        <v>12</v>
      </c>
      <c r="G6" s="81"/>
      <c r="H6" s="81"/>
      <c r="I6" s="81"/>
      <c r="J6" s="81"/>
      <c r="K6" s="81"/>
      <c r="L6" s="91"/>
      <c r="N6" s="93"/>
      <c r="O6" s="15" t="s">
        <v>12</v>
      </c>
      <c r="P6" s="13" cm="1">
        <f t="array" ref="P6">CountByColor(C4:K104, O6)</f>
        <v>3</v>
      </c>
      <c r="Q6" s="74">
        <v>5.7000000000000002E-3</v>
      </c>
      <c r="S6" s="93"/>
      <c r="T6" s="15" t="s">
        <v>12</v>
      </c>
      <c r="U6" s="13" cm="1">
        <f t="array" ref="U6">CountByColor(C4:K15, T6)</f>
        <v>0</v>
      </c>
      <c r="V6" s="72">
        <v>0</v>
      </c>
    </row>
    <row r="7" spans="1:22">
      <c r="A7" s="80"/>
      <c r="B7" s="8" t="str">
        <f t="shared" si="0"/>
        <v>104</v>
      </c>
      <c r="C7" s="9">
        <v>13</v>
      </c>
      <c r="D7" s="9">
        <v>14</v>
      </c>
      <c r="E7" s="9">
        <v>15</v>
      </c>
      <c r="F7" s="9">
        <v>16</v>
      </c>
      <c r="G7" s="81"/>
      <c r="H7" s="81"/>
      <c r="I7" s="81"/>
      <c r="J7" s="81"/>
      <c r="K7" s="81"/>
      <c r="L7" s="91"/>
      <c r="N7" s="94"/>
      <c r="O7" s="16" t="s">
        <v>13</v>
      </c>
      <c r="P7" s="13" cm="1">
        <f t="array" ref="P7">CountByColor(C4:K104, O7)</f>
        <v>477</v>
      </c>
      <c r="Q7" s="74">
        <v>0.89910000000000001</v>
      </c>
      <c r="S7" s="94"/>
      <c r="T7" s="16" t="s">
        <v>13</v>
      </c>
      <c r="U7" s="13" cm="1">
        <f t="array" ref="U7">CountByColor(C4:K15, T7)</f>
        <v>57</v>
      </c>
      <c r="V7" s="71">
        <v>0.90480000000000005</v>
      </c>
    </row>
    <row r="8" spans="1:22">
      <c r="A8" s="80">
        <v>2</v>
      </c>
      <c r="B8" s="8" t="str">
        <f t="shared" si="0"/>
        <v>201</v>
      </c>
      <c r="C8" s="9">
        <v>22</v>
      </c>
      <c r="D8" s="9">
        <v>23</v>
      </c>
      <c r="E8" s="9">
        <v>24</v>
      </c>
      <c r="F8" s="9">
        <v>25</v>
      </c>
      <c r="G8" s="9">
        <v>38</v>
      </c>
      <c r="H8" s="11">
        <v>39</v>
      </c>
      <c r="I8" s="9">
        <v>40</v>
      </c>
      <c r="J8" s="9">
        <v>41</v>
      </c>
      <c r="K8" s="9">
        <v>42</v>
      </c>
      <c r="L8" s="91"/>
      <c r="N8" s="21"/>
      <c r="T8" s="1"/>
      <c r="U8" s="1"/>
    </row>
    <row r="9" spans="1:22">
      <c r="A9" s="80"/>
      <c r="B9" s="8" t="str">
        <f t="shared" si="0"/>
        <v>202</v>
      </c>
      <c r="C9" s="9">
        <v>26</v>
      </c>
      <c r="D9" s="9">
        <v>27</v>
      </c>
      <c r="E9" s="9">
        <v>28</v>
      </c>
      <c r="F9" s="9">
        <v>29</v>
      </c>
      <c r="G9" s="81"/>
      <c r="H9" s="81"/>
      <c r="I9" s="81"/>
      <c r="J9" s="81"/>
      <c r="K9" s="81"/>
      <c r="L9" s="91"/>
      <c r="S9" s="92" t="s">
        <v>14</v>
      </c>
      <c r="T9" s="12" t="s">
        <v>10</v>
      </c>
      <c r="U9" s="13">
        <f>SUM(U10:U12)</f>
        <v>63</v>
      </c>
      <c r="V9" s="72">
        <v>1</v>
      </c>
    </row>
    <row r="10" spans="1:22">
      <c r="A10" s="80"/>
      <c r="B10" s="8" t="str">
        <f t="shared" si="0"/>
        <v>203</v>
      </c>
      <c r="C10" s="9">
        <v>30</v>
      </c>
      <c r="D10" s="9">
        <v>31</v>
      </c>
      <c r="E10" s="11">
        <v>32</v>
      </c>
      <c r="F10" s="9">
        <v>33</v>
      </c>
      <c r="G10" s="81"/>
      <c r="H10" s="81"/>
      <c r="I10" s="81"/>
      <c r="J10" s="81"/>
      <c r="K10" s="81"/>
      <c r="L10" s="91"/>
      <c r="S10" s="93"/>
      <c r="T10" s="14" t="s">
        <v>11</v>
      </c>
      <c r="U10" s="13" cm="1">
        <f t="array" ref="U10">CountByColor(C16:K27, T10)</f>
        <v>8</v>
      </c>
      <c r="V10" s="71">
        <v>0.127</v>
      </c>
    </row>
    <row r="11" spans="1:22">
      <c r="A11" s="80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81"/>
      <c r="H11" s="81"/>
      <c r="I11" s="81"/>
      <c r="J11" s="81"/>
      <c r="K11" s="81"/>
      <c r="L11" s="91"/>
      <c r="S11" s="93"/>
      <c r="T11" s="15" t="s">
        <v>12</v>
      </c>
      <c r="U11" s="13" cm="1">
        <f t="array" ref="U11">CountByColor(C16:K27, T11)</f>
        <v>0</v>
      </c>
      <c r="V11" s="72">
        <v>0</v>
      </c>
    </row>
    <row r="12" spans="1:22">
      <c r="A12" s="80">
        <v>3</v>
      </c>
      <c r="B12" s="8" t="str">
        <f t="shared" si="0"/>
        <v>301</v>
      </c>
      <c r="C12" s="9">
        <v>43</v>
      </c>
      <c r="D12" s="9">
        <v>44</v>
      </c>
      <c r="E12" s="9">
        <v>45</v>
      </c>
      <c r="F12" s="9">
        <v>46</v>
      </c>
      <c r="G12" s="9">
        <v>59</v>
      </c>
      <c r="H12" s="11">
        <v>60</v>
      </c>
      <c r="I12" s="9">
        <v>61</v>
      </c>
      <c r="J12" s="9">
        <v>62</v>
      </c>
      <c r="K12" s="9">
        <v>63</v>
      </c>
      <c r="L12" s="91"/>
      <c r="S12" s="94"/>
      <c r="T12" s="16" t="s">
        <v>13</v>
      </c>
      <c r="U12" s="13" cm="1">
        <f t="array" ref="U12">CountByColor(C16:K27, T12)</f>
        <v>55</v>
      </c>
      <c r="V12" s="71">
        <v>0.873</v>
      </c>
    </row>
    <row r="13" spans="1:22">
      <c r="A13" s="80"/>
      <c r="B13" s="8" t="str">
        <f t="shared" si="0"/>
        <v>302</v>
      </c>
      <c r="C13" s="9">
        <v>47</v>
      </c>
      <c r="D13" s="9">
        <v>48</v>
      </c>
      <c r="E13" s="11">
        <v>49</v>
      </c>
      <c r="F13" s="9">
        <v>50</v>
      </c>
      <c r="G13" s="81"/>
      <c r="H13" s="81"/>
      <c r="I13" s="81"/>
      <c r="J13" s="81"/>
      <c r="K13" s="81"/>
      <c r="L13" s="91"/>
      <c r="S13" s="1"/>
    </row>
    <row r="14" spans="1:22">
      <c r="A14" s="80"/>
      <c r="B14" s="8" t="str">
        <f t="shared" si="0"/>
        <v>303</v>
      </c>
      <c r="C14" s="9">
        <v>51</v>
      </c>
      <c r="D14" s="9">
        <v>52</v>
      </c>
      <c r="E14" s="9">
        <v>53</v>
      </c>
      <c r="F14" s="9">
        <v>54</v>
      </c>
      <c r="G14" s="81"/>
      <c r="H14" s="81"/>
      <c r="I14" s="81"/>
      <c r="J14" s="81"/>
      <c r="K14" s="81"/>
      <c r="L14" s="91"/>
      <c r="S14" s="92" t="s">
        <v>15</v>
      </c>
      <c r="T14" s="12" t="s">
        <v>10</v>
      </c>
      <c r="U14" s="13">
        <f>SUM(U15:U17)</f>
        <v>63</v>
      </c>
      <c r="V14" s="72">
        <v>1</v>
      </c>
    </row>
    <row r="15" spans="1:22">
      <c r="A15" s="80"/>
      <c r="B15" s="8" t="str">
        <f t="shared" si="0"/>
        <v>304</v>
      </c>
      <c r="C15" s="9">
        <v>55</v>
      </c>
      <c r="D15" s="9">
        <v>56</v>
      </c>
      <c r="E15" s="9">
        <v>57</v>
      </c>
      <c r="F15" s="9">
        <v>58</v>
      </c>
      <c r="G15" s="81"/>
      <c r="H15" s="81"/>
      <c r="I15" s="81"/>
      <c r="J15" s="81"/>
      <c r="K15" s="81"/>
      <c r="L15" s="91"/>
      <c r="S15" s="93"/>
      <c r="T15" s="14" t="s">
        <v>11</v>
      </c>
      <c r="U15" s="13" cm="1">
        <f t="array" ref="U15">CountByColor(C28:K39, T15)</f>
        <v>11</v>
      </c>
      <c r="V15" s="71">
        <v>0.17460000000000001</v>
      </c>
    </row>
    <row r="16" spans="1:22">
      <c r="A16" s="80">
        <v>4</v>
      </c>
      <c r="B16" s="8" t="str">
        <f t="shared" si="0"/>
        <v>401</v>
      </c>
      <c r="C16" s="9">
        <v>1</v>
      </c>
      <c r="D16" s="9">
        <v>2</v>
      </c>
      <c r="E16" s="9">
        <v>3</v>
      </c>
      <c r="F16" s="9">
        <v>4</v>
      </c>
      <c r="G16" s="11">
        <v>17</v>
      </c>
      <c r="H16" s="11">
        <v>18</v>
      </c>
      <c r="I16" s="9">
        <v>19</v>
      </c>
      <c r="J16" s="9">
        <v>20</v>
      </c>
      <c r="K16" s="9">
        <v>21</v>
      </c>
      <c r="L16" s="91" t="s">
        <v>14</v>
      </c>
      <c r="S16" s="93"/>
      <c r="T16" s="15" t="s">
        <v>12</v>
      </c>
      <c r="U16" s="13" cm="1">
        <f t="array" ref="U16">CountByColor(C28:K39, T16)</f>
        <v>1</v>
      </c>
      <c r="V16" s="71">
        <v>1.5900000000000001E-2</v>
      </c>
    </row>
    <row r="17" spans="1:22">
      <c r="A17" s="80"/>
      <c r="B17" s="8" t="str">
        <f t="shared" si="0"/>
        <v>402</v>
      </c>
      <c r="C17" s="9">
        <v>5</v>
      </c>
      <c r="D17" s="9">
        <v>6</v>
      </c>
      <c r="E17" s="9">
        <v>7</v>
      </c>
      <c r="F17" s="9">
        <v>8</v>
      </c>
      <c r="G17" s="81"/>
      <c r="H17" s="81"/>
      <c r="I17" s="81"/>
      <c r="J17" s="81"/>
      <c r="K17" s="81"/>
      <c r="L17" s="91"/>
      <c r="S17" s="94"/>
      <c r="T17" s="16" t="s">
        <v>13</v>
      </c>
      <c r="U17" s="13" cm="1">
        <f t="array" ref="U17">CountByColor(C28:K39, T17)</f>
        <v>51</v>
      </c>
      <c r="V17" s="71">
        <v>0.8095</v>
      </c>
    </row>
    <row r="18" spans="1:22">
      <c r="A18" s="80"/>
      <c r="B18" s="8" t="str">
        <f t="shared" si="0"/>
        <v>403</v>
      </c>
      <c r="C18" s="9">
        <v>9</v>
      </c>
      <c r="D18" s="9">
        <v>10</v>
      </c>
      <c r="E18" s="9">
        <v>11</v>
      </c>
      <c r="F18" s="9">
        <v>12</v>
      </c>
      <c r="G18" s="81"/>
      <c r="H18" s="81"/>
      <c r="I18" s="81"/>
      <c r="J18" s="81"/>
      <c r="K18" s="81"/>
      <c r="L18" s="91"/>
      <c r="S18" s="1"/>
    </row>
    <row r="19" spans="1:22">
      <c r="A19" s="80"/>
      <c r="B19" s="8" t="str">
        <f t="shared" si="0"/>
        <v>404</v>
      </c>
      <c r="C19" s="9">
        <v>13</v>
      </c>
      <c r="D19" s="9">
        <v>14</v>
      </c>
      <c r="E19" s="9">
        <v>15</v>
      </c>
      <c r="F19" s="9">
        <v>16</v>
      </c>
      <c r="G19" s="81"/>
      <c r="H19" s="81"/>
      <c r="I19" s="81"/>
      <c r="J19" s="81"/>
      <c r="K19" s="81"/>
      <c r="L19" s="91"/>
      <c r="S19" s="92" t="s">
        <v>16</v>
      </c>
      <c r="T19" s="12" t="s">
        <v>10</v>
      </c>
      <c r="U19" s="13">
        <f>SUM(U20:U22)</f>
        <v>63</v>
      </c>
      <c r="V19" s="72">
        <v>1</v>
      </c>
    </row>
    <row r="20" spans="1:22">
      <c r="A20" s="80">
        <v>5</v>
      </c>
      <c r="B20" s="8" t="str">
        <f t="shared" si="0"/>
        <v>501</v>
      </c>
      <c r="C20" s="9">
        <v>22</v>
      </c>
      <c r="D20" s="9">
        <v>23</v>
      </c>
      <c r="E20" s="9">
        <v>24</v>
      </c>
      <c r="F20" s="9">
        <v>25</v>
      </c>
      <c r="G20" s="9">
        <v>38</v>
      </c>
      <c r="H20" s="11">
        <v>39</v>
      </c>
      <c r="I20" s="9">
        <v>40</v>
      </c>
      <c r="J20" s="9">
        <v>41</v>
      </c>
      <c r="K20" s="9">
        <v>42</v>
      </c>
      <c r="L20" s="91"/>
      <c r="S20" s="93"/>
      <c r="T20" s="14" t="s">
        <v>11</v>
      </c>
      <c r="U20" s="13" cm="1">
        <f t="array" ref="U20">CountByColor(C40:K51, T20)</f>
        <v>4</v>
      </c>
      <c r="V20" s="71">
        <v>6.3500000000000001E-2</v>
      </c>
    </row>
    <row r="21" spans="1:22">
      <c r="A21" s="80"/>
      <c r="B21" s="8" t="str">
        <f t="shared" si="0"/>
        <v>502</v>
      </c>
      <c r="C21" s="9">
        <v>26</v>
      </c>
      <c r="D21" s="9">
        <v>27</v>
      </c>
      <c r="E21" s="9">
        <v>28</v>
      </c>
      <c r="F21" s="9">
        <v>29</v>
      </c>
      <c r="G21" s="81"/>
      <c r="H21" s="81"/>
      <c r="I21" s="81"/>
      <c r="J21" s="81"/>
      <c r="K21" s="81"/>
      <c r="L21" s="91"/>
      <c r="R21" s="1"/>
      <c r="S21" s="93"/>
      <c r="T21" s="15" t="s">
        <v>12</v>
      </c>
      <c r="U21" s="13" cm="1">
        <f t="array" ref="U21">CountByColor(C40:K51, T21)</f>
        <v>0</v>
      </c>
      <c r="V21" s="72">
        <v>0</v>
      </c>
    </row>
    <row r="22" spans="1:22">
      <c r="A22" s="80"/>
      <c r="B22" s="8" t="str">
        <f t="shared" si="0"/>
        <v>503</v>
      </c>
      <c r="C22" s="9">
        <v>30</v>
      </c>
      <c r="D22" s="11">
        <v>31</v>
      </c>
      <c r="E22" s="9">
        <v>32</v>
      </c>
      <c r="F22" s="9">
        <v>33</v>
      </c>
      <c r="G22" s="81"/>
      <c r="H22" s="81"/>
      <c r="I22" s="81"/>
      <c r="J22" s="81"/>
      <c r="K22" s="81"/>
      <c r="L22" s="91"/>
      <c r="S22" s="94"/>
      <c r="T22" s="16" t="s">
        <v>13</v>
      </c>
      <c r="U22" s="13" cm="1">
        <f t="array" ref="U22">CountByColor(C40:K51, T22)</f>
        <v>59</v>
      </c>
      <c r="V22" s="71">
        <v>0.9365</v>
      </c>
    </row>
    <row r="23" spans="1:22">
      <c r="A23" s="80"/>
      <c r="B23" s="8" t="str">
        <f t="shared" si="0"/>
        <v>504</v>
      </c>
      <c r="C23" s="9">
        <v>34</v>
      </c>
      <c r="D23" s="9">
        <v>35</v>
      </c>
      <c r="E23" s="11">
        <v>36</v>
      </c>
      <c r="F23" s="9">
        <v>37</v>
      </c>
      <c r="G23" s="81"/>
      <c r="H23" s="81"/>
      <c r="I23" s="81"/>
      <c r="J23" s="81"/>
      <c r="K23" s="81"/>
      <c r="L23" s="91"/>
      <c r="S23" s="1"/>
    </row>
    <row r="24" spans="1:22">
      <c r="A24" s="80">
        <v>6</v>
      </c>
      <c r="B24" s="8" t="str">
        <f t="shared" si="0"/>
        <v>601</v>
      </c>
      <c r="C24" s="9">
        <v>43</v>
      </c>
      <c r="D24" s="11">
        <v>44</v>
      </c>
      <c r="E24" s="9">
        <v>45</v>
      </c>
      <c r="F24" s="9">
        <v>46</v>
      </c>
      <c r="G24" s="11">
        <v>59</v>
      </c>
      <c r="H24" s="11">
        <v>60</v>
      </c>
      <c r="I24" s="9">
        <v>61</v>
      </c>
      <c r="J24" s="9">
        <v>62</v>
      </c>
      <c r="K24" s="9">
        <v>63</v>
      </c>
      <c r="L24" s="91"/>
      <c r="S24" s="92" t="s">
        <v>19</v>
      </c>
      <c r="T24" s="12" t="s">
        <v>10</v>
      </c>
      <c r="U24" s="13">
        <f>SUM(U25:U27)</f>
        <v>63</v>
      </c>
      <c r="V24" s="72">
        <v>1</v>
      </c>
    </row>
    <row r="25" spans="1:22">
      <c r="A25" s="80"/>
      <c r="B25" s="8" t="str">
        <f t="shared" si="0"/>
        <v>602</v>
      </c>
      <c r="C25" s="9">
        <v>47</v>
      </c>
      <c r="D25" s="9">
        <v>48</v>
      </c>
      <c r="E25" s="9">
        <v>49</v>
      </c>
      <c r="F25" s="9">
        <v>50</v>
      </c>
      <c r="G25" s="81"/>
      <c r="H25" s="81"/>
      <c r="I25" s="81"/>
      <c r="J25" s="81"/>
      <c r="K25" s="81"/>
      <c r="L25" s="91"/>
      <c r="S25" s="93"/>
      <c r="T25" s="14" t="s">
        <v>11</v>
      </c>
      <c r="U25" s="13" cm="1">
        <f t="array" ref="U25">CountByColor(C52:K63, T25)</f>
        <v>5</v>
      </c>
      <c r="V25" s="71">
        <v>7.9399999999999998E-2</v>
      </c>
    </row>
    <row r="26" spans="1:22">
      <c r="A26" s="80"/>
      <c r="B26" s="8" t="str">
        <f t="shared" si="0"/>
        <v>603</v>
      </c>
      <c r="C26" s="9">
        <v>51</v>
      </c>
      <c r="D26" s="9">
        <v>52</v>
      </c>
      <c r="E26" s="9">
        <v>53</v>
      </c>
      <c r="F26" s="9">
        <v>54</v>
      </c>
      <c r="G26" s="81"/>
      <c r="H26" s="81"/>
      <c r="I26" s="81"/>
      <c r="J26" s="81"/>
      <c r="K26" s="81"/>
      <c r="L26" s="91"/>
      <c r="S26" s="93"/>
      <c r="T26" s="15" t="s">
        <v>12</v>
      </c>
      <c r="U26" s="13" cm="1">
        <f t="array" ref="U26">CountByColor(C52:K63, T26)</f>
        <v>0</v>
      </c>
      <c r="V26" s="72">
        <v>0</v>
      </c>
    </row>
    <row r="27" spans="1:22">
      <c r="A27" s="80"/>
      <c r="B27" s="8" t="str">
        <f t="shared" si="0"/>
        <v>604</v>
      </c>
      <c r="C27" s="9">
        <v>55</v>
      </c>
      <c r="D27" s="9">
        <v>56</v>
      </c>
      <c r="E27" s="9">
        <v>57</v>
      </c>
      <c r="F27" s="9">
        <v>58</v>
      </c>
      <c r="G27" s="81"/>
      <c r="H27" s="81"/>
      <c r="I27" s="81"/>
      <c r="J27" s="81"/>
      <c r="K27" s="81"/>
      <c r="L27" s="91"/>
      <c r="S27" s="94"/>
      <c r="T27" s="16" t="s">
        <v>13</v>
      </c>
      <c r="U27" s="13" cm="1">
        <f t="array" ref="U27">CountByColor(C52:K63, T27)</f>
        <v>58</v>
      </c>
      <c r="V27" s="71">
        <v>0.92059999999999997</v>
      </c>
    </row>
    <row r="28" spans="1:22">
      <c r="A28" s="80">
        <v>7</v>
      </c>
      <c r="B28" s="8" t="str">
        <f t="shared" si="0"/>
        <v>701</v>
      </c>
      <c r="C28" s="9">
        <v>1</v>
      </c>
      <c r="D28" s="9">
        <v>2</v>
      </c>
      <c r="E28" s="9">
        <v>3</v>
      </c>
      <c r="F28" s="9">
        <v>4</v>
      </c>
      <c r="G28" s="11">
        <v>17</v>
      </c>
      <c r="H28" s="11">
        <v>18</v>
      </c>
      <c r="I28" s="9">
        <v>19</v>
      </c>
      <c r="J28" s="9">
        <v>20</v>
      </c>
      <c r="K28" s="9">
        <v>21</v>
      </c>
      <c r="L28" s="91" t="s">
        <v>15</v>
      </c>
      <c r="S28" s="1"/>
    </row>
    <row r="29" spans="1:22">
      <c r="A29" s="80"/>
      <c r="B29" s="8" t="str">
        <f t="shared" si="0"/>
        <v>702</v>
      </c>
      <c r="C29" s="9">
        <v>5</v>
      </c>
      <c r="D29" s="9">
        <v>6</v>
      </c>
      <c r="E29" s="11">
        <v>7</v>
      </c>
      <c r="F29" s="9">
        <v>8</v>
      </c>
      <c r="G29" s="81"/>
      <c r="H29" s="81"/>
      <c r="I29" s="81"/>
      <c r="J29" s="81"/>
      <c r="K29" s="81"/>
      <c r="L29" s="91"/>
      <c r="S29" s="92" t="s">
        <v>20</v>
      </c>
      <c r="T29" s="12" t="s">
        <v>10</v>
      </c>
      <c r="U29" s="13">
        <f>SUM(U30:U32)</f>
        <v>63</v>
      </c>
      <c r="V29" s="72">
        <v>1</v>
      </c>
    </row>
    <row r="30" spans="1:22">
      <c r="A30" s="80"/>
      <c r="B30" s="8" t="str">
        <f t="shared" si="0"/>
        <v>703</v>
      </c>
      <c r="C30" s="9">
        <v>9</v>
      </c>
      <c r="D30" s="11">
        <v>10</v>
      </c>
      <c r="E30" s="11">
        <v>11</v>
      </c>
      <c r="F30" s="9">
        <v>12</v>
      </c>
      <c r="G30" s="81"/>
      <c r="H30" s="81"/>
      <c r="I30" s="81"/>
      <c r="J30" s="81"/>
      <c r="K30" s="81"/>
      <c r="L30" s="91"/>
      <c r="S30" s="93"/>
      <c r="T30" s="14" t="s">
        <v>11</v>
      </c>
      <c r="U30" s="13" cm="1">
        <f t="array" ref="U30">CountByColor(C64:K75, T30)</f>
        <v>8</v>
      </c>
      <c r="V30" s="71">
        <v>0.1111</v>
      </c>
    </row>
    <row r="31" spans="1:22">
      <c r="A31" s="80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81"/>
      <c r="H31" s="81"/>
      <c r="I31" s="81"/>
      <c r="J31" s="81"/>
      <c r="K31" s="81"/>
      <c r="L31" s="91"/>
      <c r="O31" s="6"/>
      <c r="S31" s="93"/>
      <c r="T31" s="15" t="s">
        <v>12</v>
      </c>
      <c r="U31" s="13" cm="1">
        <f t="array" ref="U31">CountByColor(C64:K75, T31)</f>
        <v>0</v>
      </c>
      <c r="V31" s="71">
        <v>1.5900000000000001E-2</v>
      </c>
    </row>
    <row r="32" spans="1:22">
      <c r="A32" s="80">
        <v>8</v>
      </c>
      <c r="B32" s="8" t="str">
        <f t="shared" si="0"/>
        <v>801</v>
      </c>
      <c r="C32" s="9">
        <v>22</v>
      </c>
      <c r="D32" s="9">
        <v>23</v>
      </c>
      <c r="E32" s="9">
        <v>24</v>
      </c>
      <c r="F32" s="9">
        <v>25</v>
      </c>
      <c r="G32" s="9">
        <v>38</v>
      </c>
      <c r="H32" s="11">
        <v>39</v>
      </c>
      <c r="I32" s="9">
        <v>40</v>
      </c>
      <c r="J32" s="10">
        <v>41</v>
      </c>
      <c r="K32" s="9">
        <v>42</v>
      </c>
      <c r="L32" s="91"/>
      <c r="O32" s="6"/>
      <c r="S32" s="94"/>
      <c r="T32" s="16" t="s">
        <v>13</v>
      </c>
      <c r="U32" s="13" cm="1">
        <f t="array" ref="U32">CountByColor(C64:K75, T32)</f>
        <v>55</v>
      </c>
      <c r="V32" s="71">
        <v>0.873</v>
      </c>
    </row>
    <row r="33" spans="1:22">
      <c r="A33" s="80"/>
      <c r="B33" s="8" t="str">
        <f t="shared" si="0"/>
        <v>802</v>
      </c>
      <c r="C33" s="9">
        <v>26</v>
      </c>
      <c r="D33" s="9">
        <v>27</v>
      </c>
      <c r="E33" s="9">
        <v>28</v>
      </c>
      <c r="F33" s="9">
        <v>29</v>
      </c>
      <c r="G33" s="81"/>
      <c r="H33" s="81"/>
      <c r="I33" s="81"/>
      <c r="J33" s="81"/>
      <c r="K33" s="81"/>
      <c r="L33" s="91"/>
      <c r="O33" s="6"/>
      <c r="S33" s="1"/>
    </row>
    <row r="34" spans="1:22">
      <c r="A34" s="80"/>
      <c r="B34" s="8" t="str">
        <f t="shared" si="0"/>
        <v>803</v>
      </c>
      <c r="C34" s="9">
        <v>30</v>
      </c>
      <c r="D34" s="9">
        <v>31</v>
      </c>
      <c r="E34" s="9">
        <v>32</v>
      </c>
      <c r="F34" s="9">
        <v>33</v>
      </c>
      <c r="G34" s="81"/>
      <c r="H34" s="81"/>
      <c r="I34" s="81"/>
      <c r="J34" s="81"/>
      <c r="K34" s="81"/>
      <c r="L34" s="91"/>
      <c r="O34" s="6"/>
      <c r="S34" s="92" t="s">
        <v>21</v>
      </c>
      <c r="T34" s="12" t="s">
        <v>10</v>
      </c>
      <c r="U34" s="13">
        <f>SUM(U35:U37)</f>
        <v>84</v>
      </c>
      <c r="V34" s="72">
        <v>1</v>
      </c>
    </row>
    <row r="35" spans="1:22">
      <c r="A35" s="80"/>
      <c r="B35" s="8" t="str">
        <f t="shared" si="0"/>
        <v>804</v>
      </c>
      <c r="C35" s="11">
        <v>34</v>
      </c>
      <c r="D35" s="11">
        <v>35</v>
      </c>
      <c r="E35" s="11">
        <v>36</v>
      </c>
      <c r="F35" s="9">
        <v>37</v>
      </c>
      <c r="G35" s="81"/>
      <c r="H35" s="81"/>
      <c r="I35" s="81"/>
      <c r="J35" s="81"/>
      <c r="K35" s="81"/>
      <c r="L35" s="91"/>
      <c r="O35" s="6"/>
      <c r="S35" s="93"/>
      <c r="T35" s="14" t="s">
        <v>11</v>
      </c>
      <c r="U35" s="13" cm="1">
        <f t="array" ref="U35">CountByColor(C76:K91, T35)</f>
        <v>3</v>
      </c>
      <c r="V35" s="71">
        <v>3.5700000000000003E-2</v>
      </c>
    </row>
    <row r="36" spans="1:22">
      <c r="A36" s="80">
        <v>9</v>
      </c>
      <c r="B36" s="8" t="str">
        <f t="shared" si="0"/>
        <v>901</v>
      </c>
      <c r="C36" s="9">
        <v>43</v>
      </c>
      <c r="D36" s="9">
        <v>44</v>
      </c>
      <c r="E36" s="9">
        <v>45</v>
      </c>
      <c r="F36" s="9">
        <v>46</v>
      </c>
      <c r="G36" s="11">
        <v>59</v>
      </c>
      <c r="H36" s="11">
        <v>60</v>
      </c>
      <c r="I36" s="9">
        <v>61</v>
      </c>
      <c r="J36" s="9">
        <v>62</v>
      </c>
      <c r="K36" s="9">
        <v>63</v>
      </c>
      <c r="L36" s="91"/>
      <c r="N36" s="1"/>
      <c r="O36" s="6"/>
      <c r="S36" s="93"/>
      <c r="T36" s="15" t="s">
        <v>12</v>
      </c>
      <c r="U36" s="13" cm="1">
        <f t="array" ref="U36">CountByColor(C76:K91, T36)</f>
        <v>1</v>
      </c>
      <c r="V36" s="71">
        <v>1.1900000000000001E-2</v>
      </c>
    </row>
    <row r="37" spans="1:22">
      <c r="A37" s="80"/>
      <c r="B37" s="8" t="str">
        <f t="shared" si="0"/>
        <v>902</v>
      </c>
      <c r="C37" s="9">
        <v>47</v>
      </c>
      <c r="D37" s="9">
        <v>48</v>
      </c>
      <c r="E37" s="9">
        <v>49</v>
      </c>
      <c r="F37" s="9">
        <v>50</v>
      </c>
      <c r="G37" s="81"/>
      <c r="H37" s="81"/>
      <c r="I37" s="81"/>
      <c r="J37" s="81"/>
      <c r="K37" s="81"/>
      <c r="L37" s="91"/>
      <c r="N37" s="1"/>
      <c r="O37" s="6"/>
      <c r="S37" s="94"/>
      <c r="T37" s="16" t="s">
        <v>13</v>
      </c>
      <c r="U37" s="13" cm="1">
        <f t="array" ref="U37">CountByColor(C76:K91, T37)</f>
        <v>80</v>
      </c>
      <c r="V37" s="71">
        <v>0.95240000000000002</v>
      </c>
    </row>
    <row r="38" spans="1:22">
      <c r="A38" s="80"/>
      <c r="B38" s="8" t="str">
        <f t="shared" si="0"/>
        <v>903</v>
      </c>
      <c r="C38" s="9">
        <v>51</v>
      </c>
      <c r="D38" s="9">
        <v>52</v>
      </c>
      <c r="E38" s="9">
        <v>53</v>
      </c>
      <c r="F38" s="9">
        <v>54</v>
      </c>
      <c r="G38" s="81"/>
      <c r="H38" s="81"/>
      <c r="I38" s="81"/>
      <c r="J38" s="81"/>
      <c r="K38" s="81"/>
      <c r="L38" s="91"/>
      <c r="N38" s="1"/>
      <c r="S38" s="1"/>
    </row>
    <row r="39" spans="1:22">
      <c r="A39" s="80"/>
      <c r="B39" s="8" t="str">
        <f t="shared" si="0"/>
        <v>904</v>
      </c>
      <c r="C39" s="9">
        <v>55</v>
      </c>
      <c r="D39" s="9">
        <v>56</v>
      </c>
      <c r="E39" s="9">
        <v>57</v>
      </c>
      <c r="F39" s="9">
        <v>58</v>
      </c>
      <c r="G39" s="81"/>
      <c r="H39" s="81"/>
      <c r="I39" s="81"/>
      <c r="J39" s="81"/>
      <c r="K39" s="81"/>
      <c r="L39" s="91"/>
      <c r="N39" s="17"/>
      <c r="S39" s="92" t="s">
        <v>22</v>
      </c>
      <c r="T39" s="12" t="s">
        <v>10</v>
      </c>
      <c r="U39" s="13">
        <f>SUM(U40:U42)</f>
        <v>68</v>
      </c>
      <c r="V39" s="72">
        <v>1</v>
      </c>
    </row>
    <row r="40" spans="1:22">
      <c r="A40" s="80">
        <v>10</v>
      </c>
      <c r="B40" s="8" t="str">
        <f t="shared" si="0"/>
        <v>1001</v>
      </c>
      <c r="C40" s="9">
        <v>1</v>
      </c>
      <c r="D40" s="9">
        <v>2</v>
      </c>
      <c r="E40" s="9">
        <v>3</v>
      </c>
      <c r="F40" s="9">
        <v>4</v>
      </c>
      <c r="G40" s="9">
        <v>17</v>
      </c>
      <c r="H40" s="9">
        <v>18</v>
      </c>
      <c r="I40" s="9">
        <v>19</v>
      </c>
      <c r="J40" s="9">
        <v>20</v>
      </c>
      <c r="K40" s="9">
        <v>21</v>
      </c>
      <c r="L40" s="91" t="s">
        <v>16</v>
      </c>
      <c r="M40" s="1"/>
      <c r="N40" s="6"/>
      <c r="R40" s="1"/>
      <c r="S40" s="93"/>
      <c r="T40" s="14" t="s">
        <v>11</v>
      </c>
      <c r="U40" s="13" cm="1">
        <f t="array" ref="U40">CountByColor(C92:K104, T40)</f>
        <v>5</v>
      </c>
      <c r="V40" s="71">
        <v>7.3499999999999996E-2</v>
      </c>
    </row>
    <row r="41" spans="1:22">
      <c r="A41" s="80"/>
      <c r="B41" s="8" t="str">
        <f t="shared" si="0"/>
        <v>1002</v>
      </c>
      <c r="C41" s="9">
        <v>5</v>
      </c>
      <c r="D41" s="9">
        <v>6</v>
      </c>
      <c r="E41" s="9">
        <v>7</v>
      </c>
      <c r="F41" s="11">
        <v>8</v>
      </c>
      <c r="G41" s="81"/>
      <c r="H41" s="81"/>
      <c r="I41" s="81"/>
      <c r="J41" s="81"/>
      <c r="K41" s="81"/>
      <c r="L41" s="91"/>
      <c r="M41" s="1"/>
      <c r="N41" s="6"/>
      <c r="R41" s="1"/>
      <c r="S41" s="93"/>
      <c r="T41" s="15" t="s">
        <v>12</v>
      </c>
      <c r="U41" s="13" cm="1">
        <f t="array" ref="U41">CountByColor(C92:K104, T41)</f>
        <v>1</v>
      </c>
      <c r="V41" s="71">
        <v>1.47E-2</v>
      </c>
    </row>
    <row r="42" spans="1:22">
      <c r="A42" s="80"/>
      <c r="B42" s="8" t="str">
        <f t="shared" si="0"/>
        <v>1003</v>
      </c>
      <c r="C42" s="9">
        <v>9</v>
      </c>
      <c r="D42" s="9">
        <v>10</v>
      </c>
      <c r="E42" s="9">
        <v>11</v>
      </c>
      <c r="F42" s="9">
        <v>12</v>
      </c>
      <c r="G42" s="81"/>
      <c r="H42" s="81"/>
      <c r="I42" s="81"/>
      <c r="J42" s="81"/>
      <c r="K42" s="81"/>
      <c r="L42" s="91"/>
      <c r="M42" s="1"/>
      <c r="N42" s="6"/>
      <c r="R42" s="1"/>
      <c r="S42" s="94"/>
      <c r="T42" s="16" t="s">
        <v>13</v>
      </c>
      <c r="U42" s="13" cm="1">
        <f t="array" ref="U42">CountByColor(C92:K104, T42)</f>
        <v>62</v>
      </c>
      <c r="V42" s="71">
        <v>0.91180000000000005</v>
      </c>
    </row>
    <row r="43" spans="1:22">
      <c r="A43" s="80"/>
      <c r="B43" s="8" t="str">
        <f t="shared" si="0"/>
        <v>1004</v>
      </c>
      <c r="C43" s="9">
        <v>13</v>
      </c>
      <c r="D43" s="9">
        <v>14</v>
      </c>
      <c r="E43" s="9">
        <v>15</v>
      </c>
      <c r="F43" s="9">
        <v>16</v>
      </c>
      <c r="G43" s="81"/>
      <c r="H43" s="81"/>
      <c r="I43" s="81"/>
      <c r="J43" s="81"/>
      <c r="K43" s="81"/>
      <c r="L43" s="91"/>
      <c r="M43" s="1"/>
      <c r="N43" s="6"/>
      <c r="R43" s="1"/>
    </row>
    <row r="44" spans="1:22">
      <c r="A44" s="80">
        <v>11</v>
      </c>
      <c r="B44" s="8" t="str">
        <f t="shared" si="0"/>
        <v>1101</v>
      </c>
      <c r="C44" s="9">
        <v>22</v>
      </c>
      <c r="D44" s="9">
        <v>23</v>
      </c>
      <c r="E44" s="9">
        <v>24</v>
      </c>
      <c r="F44" s="9">
        <v>25</v>
      </c>
      <c r="G44" s="9">
        <v>38</v>
      </c>
      <c r="H44" s="9">
        <v>39</v>
      </c>
      <c r="I44" s="9">
        <v>40</v>
      </c>
      <c r="J44" s="9">
        <v>41</v>
      </c>
      <c r="K44" s="9">
        <v>42</v>
      </c>
      <c r="L44" s="91"/>
      <c r="M44" s="1"/>
      <c r="N44" s="6"/>
      <c r="R44" s="1"/>
    </row>
    <row r="45" spans="1:22">
      <c r="A45" s="80"/>
      <c r="B45" s="8" t="str">
        <f t="shared" si="0"/>
        <v>1102</v>
      </c>
      <c r="C45" s="9">
        <v>26</v>
      </c>
      <c r="D45" s="9">
        <v>27</v>
      </c>
      <c r="E45" s="11">
        <v>28</v>
      </c>
      <c r="F45" s="9">
        <v>29</v>
      </c>
      <c r="G45" s="81"/>
      <c r="H45" s="81"/>
      <c r="I45" s="81"/>
      <c r="J45" s="81"/>
      <c r="K45" s="81"/>
      <c r="L45" s="91"/>
      <c r="M45" s="1"/>
      <c r="N45" s="6"/>
      <c r="R45" s="1"/>
    </row>
    <row r="46" spans="1:22">
      <c r="A46" s="80"/>
      <c r="B46" s="8" t="str">
        <f t="shared" si="0"/>
        <v>1103</v>
      </c>
      <c r="C46" s="9">
        <v>30</v>
      </c>
      <c r="D46" s="9">
        <v>31</v>
      </c>
      <c r="E46" s="9">
        <v>32</v>
      </c>
      <c r="F46" s="9">
        <v>33</v>
      </c>
      <c r="G46" s="81"/>
      <c r="H46" s="81"/>
      <c r="I46" s="81"/>
      <c r="J46" s="81"/>
      <c r="K46" s="81"/>
      <c r="L46" s="91"/>
      <c r="M46" s="1"/>
      <c r="N46" s="6"/>
      <c r="R46" s="1"/>
    </row>
    <row r="47" spans="1:22">
      <c r="A47" s="80"/>
      <c r="B47" s="8" t="str">
        <f t="shared" si="0"/>
        <v>1104</v>
      </c>
      <c r="C47" s="9">
        <v>34</v>
      </c>
      <c r="D47" s="9">
        <v>35</v>
      </c>
      <c r="E47" s="9">
        <v>36</v>
      </c>
      <c r="F47" s="9">
        <v>37</v>
      </c>
      <c r="G47" s="81"/>
      <c r="H47" s="81"/>
      <c r="I47" s="81"/>
      <c r="J47" s="81"/>
      <c r="K47" s="81"/>
      <c r="L47" s="91"/>
      <c r="M47" s="1"/>
      <c r="N47" s="6"/>
      <c r="R47" s="1"/>
    </row>
    <row r="48" spans="1:22">
      <c r="A48" s="80">
        <v>12</v>
      </c>
      <c r="B48" s="8" t="str">
        <f t="shared" si="0"/>
        <v>1201</v>
      </c>
      <c r="C48" s="9">
        <v>43</v>
      </c>
      <c r="D48" s="9">
        <v>44</v>
      </c>
      <c r="E48" s="9">
        <v>45</v>
      </c>
      <c r="F48" s="9">
        <v>46</v>
      </c>
      <c r="G48" s="11">
        <v>59</v>
      </c>
      <c r="H48" s="9">
        <v>60</v>
      </c>
      <c r="I48" s="9">
        <v>61</v>
      </c>
      <c r="J48" s="9">
        <v>62</v>
      </c>
      <c r="K48" s="9">
        <v>63</v>
      </c>
      <c r="L48" s="91"/>
      <c r="M48" s="1"/>
      <c r="N48" s="6"/>
      <c r="O48" s="6"/>
      <c r="R48" s="1"/>
    </row>
    <row r="49" spans="1:18">
      <c r="A49" s="80"/>
      <c r="B49" s="8" t="str">
        <f t="shared" si="0"/>
        <v>1202</v>
      </c>
      <c r="C49" s="9">
        <v>47</v>
      </c>
      <c r="D49" s="9">
        <v>48</v>
      </c>
      <c r="E49" s="11">
        <v>49</v>
      </c>
      <c r="F49" s="9">
        <v>50</v>
      </c>
      <c r="G49" s="81"/>
      <c r="H49" s="81"/>
      <c r="I49" s="81"/>
      <c r="J49" s="81"/>
      <c r="K49" s="81"/>
      <c r="L49" s="91"/>
      <c r="M49" s="1"/>
      <c r="N49" s="6"/>
      <c r="O49" s="6"/>
      <c r="R49" s="1"/>
    </row>
    <row r="50" spans="1:18">
      <c r="A50" s="80"/>
      <c r="B50" s="8" t="str">
        <f t="shared" si="0"/>
        <v>1203</v>
      </c>
      <c r="C50" s="9">
        <v>51</v>
      </c>
      <c r="D50" s="9">
        <v>52</v>
      </c>
      <c r="E50" s="9">
        <v>53</v>
      </c>
      <c r="F50" s="9">
        <v>54</v>
      </c>
      <c r="G50" s="81"/>
      <c r="H50" s="81"/>
      <c r="I50" s="81"/>
      <c r="J50" s="81"/>
      <c r="K50" s="81"/>
      <c r="L50" s="91"/>
      <c r="O50" s="6"/>
    </row>
    <row r="51" spans="1:18">
      <c r="A51" s="80"/>
      <c r="B51" s="8" t="str">
        <f t="shared" si="0"/>
        <v>1204</v>
      </c>
      <c r="C51" s="9">
        <v>55</v>
      </c>
      <c r="D51" s="9">
        <v>56</v>
      </c>
      <c r="E51" s="9">
        <v>57</v>
      </c>
      <c r="F51" s="9">
        <v>58</v>
      </c>
      <c r="G51" s="81"/>
      <c r="H51" s="81"/>
      <c r="I51" s="81"/>
      <c r="J51" s="81"/>
      <c r="K51" s="81"/>
      <c r="L51" s="91"/>
      <c r="O51" s="6"/>
    </row>
    <row r="52" spans="1:18">
      <c r="A52" s="80">
        <v>13</v>
      </c>
      <c r="B52" s="8" t="str">
        <f t="shared" si="0"/>
        <v>1301</v>
      </c>
      <c r="C52" s="9">
        <v>1</v>
      </c>
      <c r="D52" s="9">
        <v>2</v>
      </c>
      <c r="E52" s="9">
        <v>3</v>
      </c>
      <c r="F52" s="9">
        <v>4</v>
      </c>
      <c r="G52" s="9">
        <v>17</v>
      </c>
      <c r="H52" s="9">
        <v>18</v>
      </c>
      <c r="I52" s="9">
        <v>19</v>
      </c>
      <c r="J52" s="9">
        <v>20</v>
      </c>
      <c r="K52" s="9">
        <v>21</v>
      </c>
      <c r="L52" s="91" t="s">
        <v>18</v>
      </c>
      <c r="O52" s="6"/>
    </row>
    <row r="53" spans="1:18">
      <c r="A53" s="80"/>
      <c r="B53" s="8" t="str">
        <f t="shared" si="0"/>
        <v>1302</v>
      </c>
      <c r="C53" s="9">
        <v>5</v>
      </c>
      <c r="D53" s="9">
        <v>6</v>
      </c>
      <c r="E53" s="9">
        <v>7</v>
      </c>
      <c r="F53" s="9">
        <v>8</v>
      </c>
      <c r="G53" s="81"/>
      <c r="H53" s="81"/>
      <c r="I53" s="81"/>
      <c r="J53" s="81"/>
      <c r="K53" s="81"/>
      <c r="L53" s="91"/>
      <c r="O53" s="6"/>
    </row>
    <row r="54" spans="1:18">
      <c r="A54" s="80"/>
      <c r="B54" s="8" t="str">
        <f t="shared" si="0"/>
        <v>1303</v>
      </c>
      <c r="C54" s="9">
        <v>9</v>
      </c>
      <c r="D54" s="9">
        <v>10</v>
      </c>
      <c r="E54" s="9">
        <v>11</v>
      </c>
      <c r="F54" s="9">
        <v>12</v>
      </c>
      <c r="G54" s="81"/>
      <c r="H54" s="81"/>
      <c r="I54" s="81"/>
      <c r="J54" s="81"/>
      <c r="K54" s="81"/>
      <c r="L54" s="91"/>
      <c r="O54" s="6"/>
    </row>
    <row r="55" spans="1:18">
      <c r="A55" s="80"/>
      <c r="B55" s="8" t="str">
        <f t="shared" si="0"/>
        <v>1304</v>
      </c>
      <c r="C55" s="9">
        <v>13</v>
      </c>
      <c r="D55" s="9">
        <v>14</v>
      </c>
      <c r="E55" s="11">
        <v>15</v>
      </c>
      <c r="F55" s="9">
        <v>16</v>
      </c>
      <c r="G55" s="81"/>
      <c r="H55" s="81"/>
      <c r="I55" s="81"/>
      <c r="J55" s="81"/>
      <c r="K55" s="81"/>
      <c r="L55" s="91"/>
      <c r="O55" s="6"/>
    </row>
    <row r="56" spans="1:18">
      <c r="A56" s="80">
        <v>14</v>
      </c>
      <c r="B56" s="8" t="str">
        <f t="shared" si="0"/>
        <v>1401</v>
      </c>
      <c r="C56" s="9">
        <v>22</v>
      </c>
      <c r="D56" s="9">
        <v>23</v>
      </c>
      <c r="E56" s="9">
        <v>24</v>
      </c>
      <c r="F56" s="9">
        <v>25</v>
      </c>
      <c r="G56" s="9">
        <v>38</v>
      </c>
      <c r="H56" s="9">
        <v>39</v>
      </c>
      <c r="I56" s="9">
        <v>40</v>
      </c>
      <c r="J56" s="9">
        <v>41</v>
      </c>
      <c r="K56" s="9">
        <v>42</v>
      </c>
      <c r="L56" s="91"/>
      <c r="O56" s="6"/>
    </row>
    <row r="57" spans="1:18">
      <c r="A57" s="80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81"/>
      <c r="H57" s="81"/>
      <c r="I57" s="81"/>
      <c r="J57" s="81"/>
      <c r="K57" s="81"/>
      <c r="L57" s="91"/>
      <c r="O57" s="6"/>
    </row>
    <row r="58" spans="1:18">
      <c r="A58" s="80"/>
      <c r="B58" s="8" t="str">
        <f t="shared" si="0"/>
        <v>1403</v>
      </c>
      <c r="C58" s="9">
        <v>30</v>
      </c>
      <c r="D58" s="9">
        <v>31</v>
      </c>
      <c r="E58" s="9">
        <v>32</v>
      </c>
      <c r="F58" s="9">
        <v>33</v>
      </c>
      <c r="G58" s="81"/>
      <c r="H58" s="81"/>
      <c r="I58" s="81"/>
      <c r="J58" s="81"/>
      <c r="K58" s="81"/>
      <c r="L58" s="91"/>
      <c r="O58" s="6"/>
    </row>
    <row r="59" spans="1:18">
      <c r="A59" s="80"/>
      <c r="B59" s="8" t="str">
        <f t="shared" si="0"/>
        <v>1404</v>
      </c>
      <c r="C59" s="9">
        <v>34</v>
      </c>
      <c r="D59" s="9">
        <v>35</v>
      </c>
      <c r="E59" s="9">
        <v>36</v>
      </c>
      <c r="F59" s="9">
        <v>37</v>
      </c>
      <c r="G59" s="81"/>
      <c r="H59" s="81"/>
      <c r="I59" s="81"/>
      <c r="J59" s="81"/>
      <c r="K59" s="81"/>
      <c r="L59" s="91"/>
      <c r="O59" s="6"/>
    </row>
    <row r="60" spans="1:18">
      <c r="A60" s="80">
        <v>15</v>
      </c>
      <c r="B60" s="8" t="str">
        <f t="shared" si="0"/>
        <v>1501</v>
      </c>
      <c r="C60" s="9">
        <v>43</v>
      </c>
      <c r="D60" s="11">
        <v>44</v>
      </c>
      <c r="E60" s="11">
        <v>45</v>
      </c>
      <c r="F60" s="9">
        <v>46</v>
      </c>
      <c r="G60" s="9">
        <v>59</v>
      </c>
      <c r="H60" s="9">
        <v>60</v>
      </c>
      <c r="I60" s="9">
        <v>61</v>
      </c>
      <c r="J60" s="9">
        <v>62</v>
      </c>
      <c r="K60" s="9">
        <v>63</v>
      </c>
      <c r="L60" s="91"/>
      <c r="O60" s="6"/>
    </row>
    <row r="61" spans="1:18">
      <c r="A61" s="80"/>
      <c r="B61" s="8" t="str">
        <f t="shared" si="0"/>
        <v>1502</v>
      </c>
      <c r="C61" s="9">
        <v>47</v>
      </c>
      <c r="D61" s="9">
        <v>48</v>
      </c>
      <c r="E61" s="9">
        <v>49</v>
      </c>
      <c r="F61" s="9">
        <v>50</v>
      </c>
      <c r="G61" s="81"/>
      <c r="H61" s="81"/>
      <c r="I61" s="81"/>
      <c r="J61" s="81"/>
      <c r="K61" s="81"/>
      <c r="L61" s="91"/>
      <c r="O61" s="6"/>
    </row>
    <row r="62" spans="1:18">
      <c r="A62" s="80"/>
      <c r="B62" s="8" t="str">
        <f t="shared" si="0"/>
        <v>1503</v>
      </c>
      <c r="C62" s="9">
        <v>51</v>
      </c>
      <c r="D62" s="9">
        <v>52</v>
      </c>
      <c r="E62" s="9">
        <v>53</v>
      </c>
      <c r="F62" s="9">
        <v>54</v>
      </c>
      <c r="G62" s="81"/>
      <c r="H62" s="81"/>
      <c r="I62" s="81"/>
      <c r="J62" s="81"/>
      <c r="K62" s="81"/>
      <c r="L62" s="91"/>
      <c r="O62" s="6"/>
    </row>
    <row r="63" spans="1:18">
      <c r="A63" s="80"/>
      <c r="B63" s="8" t="str">
        <f t="shared" si="0"/>
        <v>1504</v>
      </c>
      <c r="C63" s="9">
        <v>55</v>
      </c>
      <c r="D63" s="11">
        <v>56</v>
      </c>
      <c r="E63" s="11">
        <v>57</v>
      </c>
      <c r="F63" s="9">
        <v>58</v>
      </c>
      <c r="G63" s="81"/>
      <c r="H63" s="81"/>
      <c r="I63" s="81"/>
      <c r="J63" s="81"/>
      <c r="K63" s="81"/>
      <c r="L63" s="91"/>
      <c r="O63" s="6"/>
    </row>
    <row r="64" spans="1:18">
      <c r="A64" s="80">
        <v>16</v>
      </c>
      <c r="B64" s="8" t="str">
        <f t="shared" si="0"/>
        <v>1601</v>
      </c>
      <c r="C64" s="9">
        <v>1</v>
      </c>
      <c r="D64" s="9">
        <v>2</v>
      </c>
      <c r="E64" s="9">
        <v>3</v>
      </c>
      <c r="F64" s="9">
        <v>4</v>
      </c>
      <c r="G64" s="9">
        <v>17</v>
      </c>
      <c r="H64" s="9">
        <v>18</v>
      </c>
      <c r="I64" s="9">
        <v>19</v>
      </c>
      <c r="J64" s="9">
        <v>20</v>
      </c>
      <c r="K64" s="9">
        <v>21</v>
      </c>
      <c r="L64" s="91" t="s">
        <v>20</v>
      </c>
      <c r="O64" s="6"/>
    </row>
    <row r="65" spans="1:15">
      <c r="A65" s="80"/>
      <c r="B65" s="8" t="str">
        <f t="shared" si="0"/>
        <v>1602</v>
      </c>
      <c r="C65" s="9">
        <v>5</v>
      </c>
      <c r="D65" s="11">
        <v>6</v>
      </c>
      <c r="E65" s="11">
        <v>7</v>
      </c>
      <c r="F65" s="11">
        <v>8</v>
      </c>
      <c r="G65" s="81"/>
      <c r="H65" s="81"/>
      <c r="I65" s="81"/>
      <c r="J65" s="81"/>
      <c r="K65" s="81"/>
      <c r="L65" s="91"/>
      <c r="O65" s="6"/>
    </row>
    <row r="66" spans="1:15">
      <c r="A66" s="80"/>
      <c r="B66" s="8" t="str">
        <f t="shared" si="0"/>
        <v>1603</v>
      </c>
      <c r="C66" s="11">
        <v>9</v>
      </c>
      <c r="D66" s="11">
        <v>10</v>
      </c>
      <c r="E66" s="9">
        <v>11</v>
      </c>
      <c r="F66" s="9">
        <v>12</v>
      </c>
      <c r="G66" s="81"/>
      <c r="H66" s="81"/>
      <c r="I66" s="81"/>
      <c r="J66" s="81"/>
      <c r="K66" s="81"/>
      <c r="L66" s="91"/>
      <c r="O66" s="6"/>
    </row>
    <row r="67" spans="1:15">
      <c r="A67" s="80"/>
      <c r="B67" s="8" t="str">
        <f t="shared" si="0"/>
        <v>1604</v>
      </c>
      <c r="C67" s="9">
        <v>13</v>
      </c>
      <c r="D67" s="9">
        <v>14</v>
      </c>
      <c r="E67" s="11">
        <v>15</v>
      </c>
      <c r="F67" s="9">
        <v>16</v>
      </c>
      <c r="G67" s="81"/>
      <c r="H67" s="81"/>
      <c r="I67" s="81"/>
      <c r="J67" s="81"/>
      <c r="K67" s="81"/>
      <c r="L67" s="91"/>
      <c r="O67" s="6"/>
    </row>
    <row r="68" spans="1:15">
      <c r="A68" s="80">
        <v>17</v>
      </c>
      <c r="B68" s="8" t="str">
        <f t="shared" si="0"/>
        <v>1701</v>
      </c>
      <c r="C68" s="9">
        <v>22</v>
      </c>
      <c r="D68" s="9">
        <v>23</v>
      </c>
      <c r="E68" s="9">
        <v>24</v>
      </c>
      <c r="F68" s="9">
        <v>25</v>
      </c>
      <c r="G68" s="11">
        <v>38</v>
      </c>
      <c r="H68" s="9">
        <v>39</v>
      </c>
      <c r="I68" s="9">
        <v>40</v>
      </c>
      <c r="J68" s="9">
        <v>41</v>
      </c>
      <c r="K68" s="9">
        <v>42</v>
      </c>
      <c r="L68" s="91"/>
      <c r="O68" s="6"/>
    </row>
    <row r="69" spans="1:15">
      <c r="A69" s="80"/>
      <c r="B69" s="8" t="str">
        <f t="shared" ref="B69:B103" si="1">INT((ROW()-4)/4)+1 &amp; TEXT(MOD(ROW()-4,4)+1,"00")</f>
        <v>1702</v>
      </c>
      <c r="C69" s="9">
        <v>26</v>
      </c>
      <c r="D69" s="9">
        <v>27</v>
      </c>
      <c r="E69" s="9">
        <v>28</v>
      </c>
      <c r="F69" s="9">
        <v>29</v>
      </c>
      <c r="G69" s="81"/>
      <c r="H69" s="81"/>
      <c r="I69" s="81"/>
      <c r="J69" s="81"/>
      <c r="K69" s="81"/>
      <c r="L69" s="91"/>
      <c r="O69" s="6"/>
    </row>
    <row r="70" spans="1:15">
      <c r="A70" s="80"/>
      <c r="B70" s="8" t="str">
        <f t="shared" si="1"/>
        <v>1703</v>
      </c>
      <c r="C70" s="9">
        <v>30</v>
      </c>
      <c r="D70" s="9">
        <v>31</v>
      </c>
      <c r="E70" s="9">
        <v>32</v>
      </c>
      <c r="F70" s="9">
        <v>33</v>
      </c>
      <c r="G70" s="81"/>
      <c r="H70" s="81"/>
      <c r="I70" s="81"/>
      <c r="J70" s="81"/>
      <c r="K70" s="81"/>
      <c r="L70" s="91"/>
      <c r="O70" s="6"/>
    </row>
    <row r="71" spans="1:15">
      <c r="A71" s="80"/>
      <c r="B71" s="8" t="str">
        <f t="shared" si="1"/>
        <v>1704</v>
      </c>
      <c r="C71" s="9">
        <v>34</v>
      </c>
      <c r="D71" s="9">
        <v>35</v>
      </c>
      <c r="E71" s="9">
        <v>36</v>
      </c>
      <c r="F71" s="9">
        <v>37</v>
      </c>
      <c r="G71" s="81"/>
      <c r="H71" s="81"/>
      <c r="I71" s="81"/>
      <c r="J71" s="81"/>
      <c r="K71" s="81"/>
      <c r="L71" s="91"/>
      <c r="O71" s="6"/>
    </row>
    <row r="72" spans="1:15">
      <c r="A72" s="80">
        <v>18</v>
      </c>
      <c r="B72" s="8" t="str">
        <f t="shared" si="1"/>
        <v>1801</v>
      </c>
      <c r="C72" s="9">
        <v>43</v>
      </c>
      <c r="D72" s="9">
        <v>44</v>
      </c>
      <c r="E72" s="9">
        <v>45</v>
      </c>
      <c r="F72" s="9">
        <v>46</v>
      </c>
      <c r="G72" s="11">
        <v>59</v>
      </c>
      <c r="H72" s="9">
        <v>60</v>
      </c>
      <c r="I72" s="9">
        <v>61</v>
      </c>
      <c r="J72" s="9">
        <v>62</v>
      </c>
      <c r="K72" s="9">
        <v>63</v>
      </c>
      <c r="L72" s="91"/>
      <c r="O72" s="6"/>
    </row>
    <row r="73" spans="1:15">
      <c r="A73" s="80"/>
      <c r="B73" s="8" t="str">
        <f t="shared" si="1"/>
        <v>1802</v>
      </c>
      <c r="C73" s="9">
        <v>47</v>
      </c>
      <c r="D73" s="9">
        <v>48</v>
      </c>
      <c r="E73" s="9">
        <v>49</v>
      </c>
      <c r="F73" s="9">
        <v>50</v>
      </c>
      <c r="G73" s="81"/>
      <c r="H73" s="81"/>
      <c r="I73" s="81"/>
      <c r="J73" s="81"/>
      <c r="K73" s="81"/>
      <c r="L73" s="91"/>
      <c r="O73" s="6"/>
    </row>
    <row r="74" spans="1:15">
      <c r="A74" s="80"/>
      <c r="B74" s="8" t="str">
        <f t="shared" si="1"/>
        <v>1803</v>
      </c>
      <c r="C74" s="9">
        <v>51</v>
      </c>
      <c r="D74" s="9">
        <v>52</v>
      </c>
      <c r="E74" s="9">
        <v>53</v>
      </c>
      <c r="F74" s="9">
        <v>54</v>
      </c>
      <c r="G74" s="81"/>
      <c r="H74" s="81"/>
      <c r="I74" s="81"/>
      <c r="J74" s="81"/>
      <c r="K74" s="81"/>
      <c r="L74" s="91"/>
      <c r="O74" s="6"/>
    </row>
    <row r="75" spans="1:15">
      <c r="A75" s="80"/>
      <c r="B75" s="8" t="str">
        <f t="shared" si="1"/>
        <v>1804</v>
      </c>
      <c r="C75" s="9">
        <v>55</v>
      </c>
      <c r="D75" s="9">
        <v>56</v>
      </c>
      <c r="E75" s="9">
        <v>57</v>
      </c>
      <c r="F75" s="9">
        <v>58</v>
      </c>
      <c r="G75" s="81"/>
      <c r="H75" s="81"/>
      <c r="I75" s="81"/>
      <c r="J75" s="81"/>
      <c r="K75" s="81"/>
      <c r="L75" s="91"/>
      <c r="O75" s="6"/>
    </row>
    <row r="76" spans="1:15">
      <c r="A76" s="80">
        <v>19</v>
      </c>
      <c r="B76" s="8" t="str">
        <f t="shared" si="1"/>
        <v>1901</v>
      </c>
      <c r="C76" s="9">
        <v>1</v>
      </c>
      <c r="D76" s="9">
        <v>2</v>
      </c>
      <c r="E76" s="9">
        <v>3</v>
      </c>
      <c r="F76" s="9">
        <v>4</v>
      </c>
      <c r="G76" s="9">
        <v>17</v>
      </c>
      <c r="H76" s="9">
        <v>18</v>
      </c>
      <c r="I76" s="9">
        <v>19</v>
      </c>
      <c r="J76" s="9">
        <v>20</v>
      </c>
      <c r="K76" s="9">
        <v>21</v>
      </c>
      <c r="L76" s="91" t="s">
        <v>21</v>
      </c>
      <c r="O76" s="6"/>
    </row>
    <row r="77" spans="1:15">
      <c r="A77" s="80"/>
      <c r="B77" s="8" t="str">
        <f t="shared" si="1"/>
        <v>1902</v>
      </c>
      <c r="C77" s="9">
        <v>5</v>
      </c>
      <c r="D77" s="9">
        <v>6</v>
      </c>
      <c r="E77" s="9">
        <v>7</v>
      </c>
      <c r="F77" s="9">
        <v>8</v>
      </c>
      <c r="G77" s="81"/>
      <c r="H77" s="81"/>
      <c r="I77" s="81"/>
      <c r="J77" s="81"/>
      <c r="K77" s="81"/>
      <c r="L77" s="91"/>
      <c r="O77" s="6"/>
    </row>
    <row r="78" spans="1:15">
      <c r="A78" s="80"/>
      <c r="B78" s="8" t="str">
        <f t="shared" si="1"/>
        <v>1903</v>
      </c>
      <c r="C78" s="9">
        <v>9</v>
      </c>
      <c r="D78" s="9">
        <v>10</v>
      </c>
      <c r="E78" s="9">
        <v>11</v>
      </c>
      <c r="F78" s="9">
        <v>12</v>
      </c>
      <c r="G78" s="81"/>
      <c r="H78" s="81"/>
      <c r="I78" s="81"/>
      <c r="J78" s="81"/>
      <c r="K78" s="81"/>
      <c r="L78" s="91"/>
      <c r="O78" s="6"/>
    </row>
    <row r="79" spans="1:15">
      <c r="A79" s="80"/>
      <c r="B79" s="8" t="str">
        <f t="shared" si="1"/>
        <v>1904</v>
      </c>
      <c r="C79" s="9">
        <v>13</v>
      </c>
      <c r="D79" s="9">
        <v>14</v>
      </c>
      <c r="E79" s="9">
        <v>15</v>
      </c>
      <c r="F79" s="9">
        <v>16</v>
      </c>
      <c r="G79" s="81"/>
      <c r="H79" s="81"/>
      <c r="I79" s="81"/>
      <c r="J79" s="81"/>
      <c r="K79" s="81"/>
      <c r="L79" s="91"/>
      <c r="O79" s="6"/>
    </row>
    <row r="80" spans="1:15">
      <c r="A80" s="80">
        <v>20</v>
      </c>
      <c r="B80" s="8" t="str">
        <f t="shared" si="1"/>
        <v>2001</v>
      </c>
      <c r="C80" s="9">
        <v>22</v>
      </c>
      <c r="D80" s="9">
        <v>23</v>
      </c>
      <c r="E80" s="9">
        <v>24</v>
      </c>
      <c r="F80" s="9">
        <v>25</v>
      </c>
      <c r="G80" s="9">
        <v>38</v>
      </c>
      <c r="H80" s="9">
        <v>39</v>
      </c>
      <c r="I80" s="9">
        <v>40</v>
      </c>
      <c r="J80" s="9">
        <v>41</v>
      </c>
      <c r="K80" s="9">
        <v>42</v>
      </c>
      <c r="L80" s="91"/>
      <c r="O80" s="6"/>
    </row>
    <row r="81" spans="1:19">
      <c r="A81" s="80"/>
      <c r="B81" s="8" t="str">
        <f t="shared" si="1"/>
        <v>2002</v>
      </c>
      <c r="C81" s="9">
        <v>26</v>
      </c>
      <c r="D81" s="9">
        <v>27</v>
      </c>
      <c r="E81" s="9">
        <v>28</v>
      </c>
      <c r="F81" s="9">
        <v>29</v>
      </c>
      <c r="G81" s="81"/>
      <c r="H81" s="81"/>
      <c r="I81" s="81"/>
      <c r="J81" s="81"/>
      <c r="K81" s="81"/>
      <c r="L81" s="91"/>
      <c r="O81" s="6"/>
    </row>
    <row r="82" spans="1:19">
      <c r="A82" s="80"/>
      <c r="B82" s="8" t="str">
        <f t="shared" si="1"/>
        <v>2003</v>
      </c>
      <c r="C82" s="9">
        <v>30</v>
      </c>
      <c r="D82" s="9">
        <v>31</v>
      </c>
      <c r="E82" s="9">
        <v>32</v>
      </c>
      <c r="F82" s="9">
        <v>33</v>
      </c>
      <c r="G82" s="81"/>
      <c r="H82" s="81"/>
      <c r="I82" s="81"/>
      <c r="J82" s="81"/>
      <c r="K82" s="81"/>
      <c r="L82" s="91"/>
      <c r="O82" s="6"/>
    </row>
    <row r="83" spans="1:19">
      <c r="A83" s="80"/>
      <c r="B83" s="8" t="str">
        <f t="shared" si="1"/>
        <v>2004</v>
      </c>
      <c r="C83" s="9">
        <v>34</v>
      </c>
      <c r="D83" s="9">
        <v>35</v>
      </c>
      <c r="E83" s="9">
        <v>36</v>
      </c>
      <c r="F83" s="9">
        <v>37</v>
      </c>
      <c r="G83" s="81"/>
      <c r="H83" s="81"/>
      <c r="I83" s="81"/>
      <c r="J83" s="81"/>
      <c r="K83" s="81"/>
      <c r="L83" s="91"/>
      <c r="O83" s="6"/>
    </row>
    <row r="84" spans="1:19">
      <c r="A84" s="80">
        <v>21</v>
      </c>
      <c r="B84" s="8" t="str">
        <f t="shared" si="1"/>
        <v>2101</v>
      </c>
      <c r="C84" s="9">
        <v>43</v>
      </c>
      <c r="D84" s="9">
        <v>44</v>
      </c>
      <c r="E84" s="9">
        <v>45</v>
      </c>
      <c r="F84" s="9">
        <v>46</v>
      </c>
      <c r="G84" s="11">
        <v>59</v>
      </c>
      <c r="H84" s="9">
        <v>60</v>
      </c>
      <c r="I84" s="9">
        <v>61</v>
      </c>
      <c r="J84" s="9">
        <v>62</v>
      </c>
      <c r="K84" s="9">
        <v>63</v>
      </c>
      <c r="L84" s="91"/>
      <c r="O84" s="6"/>
    </row>
    <row r="85" spans="1:19">
      <c r="A85" s="80"/>
      <c r="B85" s="8" t="str">
        <f t="shared" si="1"/>
        <v>2102</v>
      </c>
      <c r="C85" s="9">
        <v>47</v>
      </c>
      <c r="D85" s="9">
        <v>48</v>
      </c>
      <c r="E85" s="9">
        <v>49</v>
      </c>
      <c r="F85" s="9">
        <v>50</v>
      </c>
      <c r="G85" s="81"/>
      <c r="H85" s="81"/>
      <c r="I85" s="81"/>
      <c r="J85" s="81"/>
      <c r="K85" s="81"/>
      <c r="L85" s="91"/>
      <c r="O85" s="6"/>
    </row>
    <row r="86" spans="1:19">
      <c r="A86" s="80"/>
      <c r="B86" s="8" t="str">
        <f t="shared" si="1"/>
        <v>2103</v>
      </c>
      <c r="C86" s="9">
        <v>51</v>
      </c>
      <c r="D86" s="9">
        <v>52</v>
      </c>
      <c r="E86" s="11">
        <v>53</v>
      </c>
      <c r="F86" s="9">
        <v>54</v>
      </c>
      <c r="G86" s="81"/>
      <c r="H86" s="81"/>
      <c r="I86" s="81"/>
      <c r="J86" s="81"/>
      <c r="K86" s="81"/>
      <c r="L86" s="91"/>
    </row>
    <row r="87" spans="1:19">
      <c r="A87" s="80"/>
      <c r="B87" s="8" t="str">
        <f t="shared" si="1"/>
        <v>2104</v>
      </c>
      <c r="C87" s="9">
        <v>55</v>
      </c>
      <c r="D87" s="9">
        <v>56</v>
      </c>
      <c r="E87" s="11">
        <v>57</v>
      </c>
      <c r="F87" s="10">
        <v>58</v>
      </c>
      <c r="G87" s="81"/>
      <c r="H87" s="81"/>
      <c r="I87" s="81"/>
      <c r="J87" s="81"/>
      <c r="K87" s="81"/>
      <c r="L87" s="91"/>
    </row>
    <row r="88" spans="1:19">
      <c r="A88" s="80">
        <v>22</v>
      </c>
      <c r="B88" s="8" t="str">
        <f t="shared" si="1"/>
        <v>2201</v>
      </c>
      <c r="C88" s="9">
        <v>64</v>
      </c>
      <c r="D88" s="9">
        <v>65</v>
      </c>
      <c r="E88" s="9">
        <v>66</v>
      </c>
      <c r="F88" s="9">
        <v>67</v>
      </c>
      <c r="G88" s="9">
        <v>80</v>
      </c>
      <c r="H88" s="9">
        <v>81</v>
      </c>
      <c r="I88" s="9">
        <v>82</v>
      </c>
      <c r="J88" s="9">
        <v>83</v>
      </c>
      <c r="K88" s="9">
        <v>84</v>
      </c>
      <c r="L88" s="91"/>
      <c r="N88" s="6"/>
    </row>
    <row r="89" spans="1:19">
      <c r="A89" s="80"/>
      <c r="B89" s="8" t="str">
        <f t="shared" si="1"/>
        <v>2202</v>
      </c>
      <c r="C89" s="9">
        <v>68</v>
      </c>
      <c r="D89" s="9">
        <v>69</v>
      </c>
      <c r="E89" s="9">
        <v>70</v>
      </c>
      <c r="F89" s="9">
        <v>71</v>
      </c>
      <c r="G89" s="81"/>
      <c r="H89" s="81"/>
      <c r="I89" s="81"/>
      <c r="J89" s="81"/>
      <c r="K89" s="81"/>
      <c r="L89" s="91"/>
      <c r="N89" s="6"/>
    </row>
    <row r="90" spans="1:19">
      <c r="A90" s="80"/>
      <c r="B90" s="8" t="str">
        <f t="shared" si="1"/>
        <v>2203</v>
      </c>
      <c r="C90" s="9">
        <v>72</v>
      </c>
      <c r="D90" s="9">
        <v>73</v>
      </c>
      <c r="E90" s="9">
        <v>74</v>
      </c>
      <c r="F90" s="9">
        <v>75</v>
      </c>
      <c r="G90" s="81"/>
      <c r="H90" s="81"/>
      <c r="I90" s="81"/>
      <c r="J90" s="81"/>
      <c r="K90" s="81"/>
      <c r="L90" s="91"/>
      <c r="N90" s="6"/>
    </row>
    <row r="91" spans="1:19">
      <c r="A91" s="80"/>
      <c r="B91" s="8" t="str">
        <f t="shared" si="1"/>
        <v>2204</v>
      </c>
      <c r="C91" s="9">
        <v>76</v>
      </c>
      <c r="D91" s="9">
        <v>77</v>
      </c>
      <c r="E91" s="9">
        <v>78</v>
      </c>
      <c r="F91" s="9">
        <v>79</v>
      </c>
      <c r="G91" s="81"/>
      <c r="H91" s="81"/>
      <c r="I91" s="81"/>
      <c r="J91" s="81"/>
      <c r="K91" s="81"/>
      <c r="L91" s="91"/>
      <c r="N91" s="6"/>
    </row>
    <row r="92" spans="1:19">
      <c r="A92" s="80">
        <v>23</v>
      </c>
      <c r="B92" s="8" t="str">
        <f t="shared" si="1"/>
        <v>2301</v>
      </c>
      <c r="C92" s="9">
        <v>1</v>
      </c>
      <c r="D92" s="9">
        <v>2</v>
      </c>
      <c r="E92" s="9">
        <v>3</v>
      </c>
      <c r="F92" s="9">
        <v>4</v>
      </c>
      <c r="G92" s="9">
        <v>17</v>
      </c>
      <c r="H92" s="9">
        <v>18</v>
      </c>
      <c r="I92" s="9">
        <v>19</v>
      </c>
      <c r="J92" s="9">
        <v>20</v>
      </c>
      <c r="K92" s="9">
        <v>21</v>
      </c>
      <c r="L92" s="100" t="s">
        <v>22</v>
      </c>
      <c r="N92" s="6"/>
      <c r="S92" s="18"/>
    </row>
    <row r="93" spans="1:19">
      <c r="A93" s="80"/>
      <c r="B93" s="8" t="str">
        <f t="shared" si="1"/>
        <v>2302</v>
      </c>
      <c r="C93" s="9">
        <v>5</v>
      </c>
      <c r="D93" s="9">
        <v>6</v>
      </c>
      <c r="E93" s="9">
        <v>7</v>
      </c>
      <c r="F93" s="9">
        <v>8</v>
      </c>
      <c r="G93" s="81"/>
      <c r="H93" s="81"/>
      <c r="I93" s="81"/>
      <c r="J93" s="81"/>
      <c r="K93" s="81"/>
      <c r="L93" s="101"/>
      <c r="N93" s="6"/>
    </row>
    <row r="94" spans="1:19">
      <c r="A94" s="80"/>
      <c r="B94" s="8" t="str">
        <f t="shared" si="1"/>
        <v>2303</v>
      </c>
      <c r="C94" s="9">
        <v>9</v>
      </c>
      <c r="D94" s="9">
        <v>10</v>
      </c>
      <c r="E94" s="9">
        <v>11</v>
      </c>
      <c r="F94" s="9">
        <v>12</v>
      </c>
      <c r="G94" s="81"/>
      <c r="H94" s="81"/>
      <c r="I94" s="81"/>
      <c r="J94" s="81"/>
      <c r="K94" s="81"/>
      <c r="L94" s="101"/>
      <c r="N94" s="6"/>
    </row>
    <row r="95" spans="1:19">
      <c r="A95" s="80"/>
      <c r="B95" s="8" t="str">
        <f t="shared" si="1"/>
        <v>2304</v>
      </c>
      <c r="C95" s="9">
        <v>13</v>
      </c>
      <c r="D95" s="9">
        <v>14</v>
      </c>
      <c r="E95" s="9">
        <v>15</v>
      </c>
      <c r="F95" s="9">
        <v>16</v>
      </c>
      <c r="G95" s="81"/>
      <c r="H95" s="81"/>
      <c r="I95" s="81"/>
      <c r="J95" s="81"/>
      <c r="K95" s="81"/>
      <c r="L95" s="101"/>
      <c r="N95" s="6"/>
    </row>
    <row r="96" spans="1:19">
      <c r="A96" s="80">
        <v>24</v>
      </c>
      <c r="B96" s="8" t="str">
        <f t="shared" si="1"/>
        <v>2401</v>
      </c>
      <c r="C96" s="9">
        <v>22</v>
      </c>
      <c r="D96" s="9">
        <v>23</v>
      </c>
      <c r="E96" s="9">
        <v>24</v>
      </c>
      <c r="F96" s="9">
        <v>25</v>
      </c>
      <c r="G96" s="9">
        <v>38</v>
      </c>
      <c r="H96" s="9">
        <v>39</v>
      </c>
      <c r="I96" s="10">
        <v>40</v>
      </c>
      <c r="J96" s="9">
        <v>41</v>
      </c>
      <c r="K96" s="9">
        <v>42</v>
      </c>
      <c r="L96" s="101"/>
      <c r="N96" s="6"/>
    </row>
    <row r="97" spans="1:15">
      <c r="A97" s="80"/>
      <c r="B97" s="8" t="str">
        <f t="shared" si="1"/>
        <v>2402</v>
      </c>
      <c r="C97" s="9">
        <v>26</v>
      </c>
      <c r="D97" s="9">
        <v>27</v>
      </c>
      <c r="E97" s="9">
        <v>28</v>
      </c>
      <c r="F97" s="11">
        <v>29</v>
      </c>
      <c r="G97" s="81"/>
      <c r="H97" s="81"/>
      <c r="I97" s="81"/>
      <c r="J97" s="81"/>
      <c r="K97" s="81"/>
      <c r="L97" s="101"/>
      <c r="N97" s="6"/>
    </row>
    <row r="98" spans="1:15">
      <c r="A98" s="80"/>
      <c r="B98" s="8" t="str">
        <f t="shared" si="1"/>
        <v>2403</v>
      </c>
      <c r="C98" s="9">
        <v>30</v>
      </c>
      <c r="D98" s="9">
        <v>31</v>
      </c>
      <c r="E98" s="9">
        <v>32</v>
      </c>
      <c r="F98" s="9">
        <v>33</v>
      </c>
      <c r="G98" s="81"/>
      <c r="H98" s="81"/>
      <c r="I98" s="81"/>
      <c r="J98" s="81"/>
      <c r="K98" s="81"/>
      <c r="L98" s="101"/>
      <c r="N98" s="6"/>
      <c r="O98" s="6"/>
    </row>
    <row r="99" spans="1:15">
      <c r="A99" s="80"/>
      <c r="B99" s="8" t="str">
        <f t="shared" si="1"/>
        <v>2404</v>
      </c>
      <c r="C99" s="9">
        <v>34</v>
      </c>
      <c r="D99" s="9">
        <v>35</v>
      </c>
      <c r="E99" s="9">
        <v>36</v>
      </c>
      <c r="F99" s="9">
        <v>37</v>
      </c>
      <c r="G99" s="81"/>
      <c r="H99" s="81"/>
      <c r="I99" s="81"/>
      <c r="J99" s="81"/>
      <c r="K99" s="81"/>
      <c r="L99" s="101"/>
      <c r="N99" s="6"/>
      <c r="O99" s="6"/>
    </row>
    <row r="100" spans="1:15">
      <c r="A100" s="80">
        <v>25</v>
      </c>
      <c r="B100" s="8" t="str">
        <f t="shared" si="1"/>
        <v>2501</v>
      </c>
      <c r="C100" s="9">
        <v>43</v>
      </c>
      <c r="D100" s="9">
        <v>44</v>
      </c>
      <c r="E100" s="9">
        <v>45</v>
      </c>
      <c r="F100" s="9">
        <v>46</v>
      </c>
      <c r="G100" s="9">
        <v>59</v>
      </c>
      <c r="H100" s="9">
        <v>60</v>
      </c>
      <c r="I100" s="9">
        <v>61</v>
      </c>
      <c r="J100" s="9">
        <v>62</v>
      </c>
      <c r="K100" s="9">
        <v>63</v>
      </c>
      <c r="L100" s="101"/>
      <c r="O100" s="6"/>
    </row>
    <row r="101" spans="1:15">
      <c r="A101" s="80"/>
      <c r="B101" s="8" t="str">
        <f t="shared" si="1"/>
        <v>2502</v>
      </c>
      <c r="C101" s="9">
        <v>47</v>
      </c>
      <c r="D101" s="11">
        <v>48</v>
      </c>
      <c r="E101" s="11">
        <v>49</v>
      </c>
      <c r="F101" s="9">
        <v>50</v>
      </c>
      <c r="G101" s="81"/>
      <c r="H101" s="81"/>
      <c r="I101" s="81"/>
      <c r="J101" s="81"/>
      <c r="K101" s="81"/>
      <c r="L101" s="101"/>
      <c r="O101" s="6"/>
    </row>
    <row r="102" spans="1:15">
      <c r="A102" s="80"/>
      <c r="B102" s="8" t="str">
        <f t="shared" si="1"/>
        <v>2503</v>
      </c>
      <c r="C102" s="9">
        <v>51</v>
      </c>
      <c r="D102" s="9">
        <v>52</v>
      </c>
      <c r="E102" s="11">
        <v>53</v>
      </c>
      <c r="F102" s="9">
        <v>54</v>
      </c>
      <c r="G102" s="81"/>
      <c r="H102" s="81"/>
      <c r="I102" s="81"/>
      <c r="J102" s="81"/>
      <c r="K102" s="81"/>
      <c r="L102" s="101"/>
      <c r="O102" s="6"/>
    </row>
    <row r="103" spans="1:15">
      <c r="A103" s="80"/>
      <c r="B103" s="8" t="str">
        <f t="shared" si="1"/>
        <v>2504</v>
      </c>
      <c r="C103" s="9">
        <v>55</v>
      </c>
      <c r="D103" s="9">
        <v>56</v>
      </c>
      <c r="E103" s="9">
        <v>57</v>
      </c>
      <c r="F103" s="9">
        <v>58</v>
      </c>
      <c r="G103" s="81"/>
      <c r="H103" s="81"/>
      <c r="I103" s="81"/>
      <c r="J103" s="81"/>
      <c r="K103" s="81"/>
      <c r="L103" s="101"/>
      <c r="O103" s="6"/>
    </row>
    <row r="104" spans="1:15">
      <c r="A104" s="47">
        <v>26</v>
      </c>
      <c r="B104" s="48" t="s">
        <v>25</v>
      </c>
      <c r="C104" s="9">
        <v>75</v>
      </c>
      <c r="D104" s="11">
        <v>76</v>
      </c>
      <c r="E104" s="19"/>
      <c r="F104" s="19"/>
      <c r="G104" s="19"/>
      <c r="H104" s="7"/>
      <c r="I104" s="9">
        <v>79</v>
      </c>
      <c r="J104" s="9">
        <v>78</v>
      </c>
      <c r="K104" s="9">
        <v>93</v>
      </c>
      <c r="L104" s="102"/>
      <c r="O104" s="6"/>
    </row>
    <row r="105" spans="1:15">
      <c r="O105" s="6"/>
    </row>
    <row r="106" spans="1:15">
      <c r="O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  <row r="113" spans="15:15">
      <c r="O113" s="6"/>
    </row>
    <row r="114" spans="15:15">
      <c r="O114" s="6"/>
    </row>
    <row r="115" spans="15:15">
      <c r="O115" s="6"/>
    </row>
    <row r="116" spans="15:15">
      <c r="O116" s="6"/>
    </row>
    <row r="117" spans="15:15">
      <c r="O117" s="6"/>
    </row>
    <row r="118" spans="15:15">
      <c r="O118" s="6"/>
    </row>
    <row r="119" spans="15:15">
      <c r="O119" s="6"/>
    </row>
    <row r="120" spans="15:15">
      <c r="O120" s="6"/>
    </row>
  </sheetData>
  <mergeCells count="78">
    <mergeCell ref="L76:L91"/>
    <mergeCell ref="L64:L75"/>
    <mergeCell ref="L52:L63"/>
    <mergeCell ref="L40:L51"/>
    <mergeCell ref="G13:K15"/>
    <mergeCell ref="G37:K39"/>
    <mergeCell ref="A96:A99"/>
    <mergeCell ref="G97:K99"/>
    <mergeCell ref="A100:A103"/>
    <mergeCell ref="G101:K103"/>
    <mergeCell ref="L92:L104"/>
    <mergeCell ref="A88:A91"/>
    <mergeCell ref="G89:K91"/>
    <mergeCell ref="G81:K83"/>
    <mergeCell ref="A92:A95"/>
    <mergeCell ref="G93:K95"/>
    <mergeCell ref="A76:A79"/>
    <mergeCell ref="G77:K79"/>
    <mergeCell ref="G69:K71"/>
    <mergeCell ref="A80:A83"/>
    <mergeCell ref="A84:A87"/>
    <mergeCell ref="G85:K87"/>
    <mergeCell ref="A64:A67"/>
    <mergeCell ref="G65:K67"/>
    <mergeCell ref="G57:K59"/>
    <mergeCell ref="A68:A71"/>
    <mergeCell ref="A72:A75"/>
    <mergeCell ref="G73:K75"/>
    <mergeCell ref="A52:A55"/>
    <mergeCell ref="G53:K55"/>
    <mergeCell ref="G45:K47"/>
    <mergeCell ref="A56:A59"/>
    <mergeCell ref="A60:A63"/>
    <mergeCell ref="G61:K63"/>
    <mergeCell ref="A24:A27"/>
    <mergeCell ref="S24:S27"/>
    <mergeCell ref="A28:A31"/>
    <mergeCell ref="A44:A47"/>
    <mergeCell ref="A48:A51"/>
    <mergeCell ref="G49:K51"/>
    <mergeCell ref="L16:L27"/>
    <mergeCell ref="G21:K23"/>
    <mergeCell ref="G25:K27"/>
    <mergeCell ref="L28:L39"/>
    <mergeCell ref="G29:K31"/>
    <mergeCell ref="G33:K35"/>
    <mergeCell ref="S29:S32"/>
    <mergeCell ref="A32:A35"/>
    <mergeCell ref="S34:S37"/>
    <mergeCell ref="A36:A39"/>
    <mergeCell ref="S39:S42"/>
    <mergeCell ref="A40:A43"/>
    <mergeCell ref="G41:K43"/>
    <mergeCell ref="O3:P3"/>
    <mergeCell ref="A4:A7"/>
    <mergeCell ref="N4:N7"/>
    <mergeCell ref="S4:S7"/>
    <mergeCell ref="G5:K7"/>
    <mergeCell ref="L4:L15"/>
    <mergeCell ref="A8:A11"/>
    <mergeCell ref="G9:K11"/>
    <mergeCell ref="S9:S12"/>
    <mergeCell ref="A12:A15"/>
    <mergeCell ref="S14:S17"/>
    <mergeCell ref="A16:A19"/>
    <mergeCell ref="G17:K19"/>
    <mergeCell ref="S19:S22"/>
    <mergeCell ref="A20:A23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</mergeCells>
  <conditionalFormatting sqref="F10">
    <cfRule type="cellIs" dxfId="90" priority="16" operator="equal">
      <formula>"Ногоон"</formula>
    </cfRule>
    <cfRule type="cellIs" dxfId="89" priority="17" operator="equal">
      <formula>"Улаан"</formula>
    </cfRule>
  </conditionalFormatting>
  <conditionalFormatting sqref="C4:K4 C8:K8 C5:G5 C6:F7 C12:K12 C9:G9 C10:F11 C100:K100 C13:G13 C14:F15 C16:K16 C20:K20 C17:G17 C18:F19 C24:K24 C21:G21 C22:F23 C25:G25 C26:F27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 C101:G101 C102:F104 G104 I104:K104">
    <cfRule type="cellIs" dxfId="88" priority="15" operator="equal">
      <formula>"Улаан"</formula>
    </cfRule>
  </conditionalFormatting>
  <conditionalFormatting sqref="F22">
    <cfRule type="cellIs" dxfId="87" priority="13" operator="equal">
      <formula>"Ногоон"</formula>
    </cfRule>
    <cfRule type="cellIs" dxfId="86" priority="14" operator="equal">
      <formula>"Улаан"</formula>
    </cfRule>
  </conditionalFormatting>
  <conditionalFormatting sqref="F34">
    <cfRule type="cellIs" dxfId="85" priority="11" operator="equal">
      <formula>"Ногоон"</formula>
    </cfRule>
    <cfRule type="cellIs" dxfId="84" priority="12" operator="equal">
      <formula>"Улаан"</formula>
    </cfRule>
  </conditionalFormatting>
  <conditionalFormatting sqref="F46">
    <cfRule type="cellIs" dxfId="83" priority="9" operator="equal">
      <formula>"Ногоон"</formula>
    </cfRule>
    <cfRule type="cellIs" dxfId="82" priority="10" operator="equal">
      <formula>"Улаан"</formula>
    </cfRule>
  </conditionalFormatting>
  <conditionalFormatting sqref="F58">
    <cfRule type="cellIs" dxfId="81" priority="7" operator="equal">
      <formula>"Ногоон"</formula>
    </cfRule>
    <cfRule type="cellIs" dxfId="80" priority="8" operator="equal">
      <formula>"Улаан"</formula>
    </cfRule>
  </conditionalFormatting>
  <conditionalFormatting sqref="F70">
    <cfRule type="cellIs" dxfId="79" priority="5" operator="equal">
      <formula>"Ногоон"</formula>
    </cfRule>
    <cfRule type="cellIs" dxfId="78" priority="6" operator="equal">
      <formula>"Улаан"</formula>
    </cfRule>
  </conditionalFormatting>
  <conditionalFormatting sqref="F82">
    <cfRule type="cellIs" dxfId="77" priority="3" operator="equal">
      <formula>"Ногоон"</formula>
    </cfRule>
    <cfRule type="cellIs" dxfId="76" priority="4" operator="equal">
      <formula>"Улаан"</formula>
    </cfRule>
  </conditionalFormatting>
  <conditionalFormatting sqref="F94">
    <cfRule type="cellIs" dxfId="75" priority="1" operator="equal">
      <formula>"Ногоон"</formula>
    </cfRule>
    <cfRule type="cellIs" dxfId="74" priority="2" operator="equal">
      <formula>"Улаан"</formula>
    </cfRule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D8A65-9C59-4EB0-B544-22D401475374}">
  <dimension ref="A1:V109"/>
  <sheetViews>
    <sheetView tabSelected="1" topLeftCell="A3" zoomScale="65" workbookViewId="0">
      <selection activeCell="P18" sqref="P18"/>
    </sheetView>
  </sheetViews>
  <sheetFormatPr defaultRowHeight="15"/>
  <cols>
    <col min="14" max="14" width="12" bestFit="1" customWidth="1"/>
    <col min="15" max="15" width="14.5703125" bestFit="1" customWidth="1"/>
  </cols>
  <sheetData>
    <row r="1" spans="1:22">
      <c r="A1" s="77">
        <v>221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</row>
    <row r="2" spans="1:22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</row>
    <row r="3" spans="1:22" ht="15.75" thickBot="1">
      <c r="A3" s="98"/>
      <c r="B3" s="122"/>
      <c r="C3" s="107"/>
      <c r="D3" s="108"/>
      <c r="E3" s="108"/>
      <c r="F3" s="108"/>
      <c r="G3" s="124"/>
      <c r="H3" s="124"/>
      <c r="I3" s="122"/>
      <c r="J3" s="126"/>
      <c r="K3" s="122"/>
      <c r="L3" s="98"/>
      <c r="M3" s="2"/>
      <c r="O3" s="90"/>
      <c r="P3" s="90"/>
      <c r="Q3" s="18"/>
      <c r="R3" s="2"/>
      <c r="S3" s="2"/>
      <c r="T3" s="2"/>
    </row>
    <row r="4" spans="1:22">
      <c r="A4" s="181">
        <v>1</v>
      </c>
      <c r="B4" s="35" t="str">
        <f>INT((ROW()-4)/4)+1 &amp; TEXT(MOD(ROW()-4,4)+1,"00")</f>
        <v>101</v>
      </c>
      <c r="C4" s="36">
        <v>1</v>
      </c>
      <c r="D4" s="37">
        <v>2</v>
      </c>
      <c r="E4" s="36">
        <v>3</v>
      </c>
      <c r="F4" s="37">
        <v>4</v>
      </c>
      <c r="G4" s="37">
        <v>17</v>
      </c>
      <c r="H4" s="37">
        <v>18</v>
      </c>
      <c r="I4" s="37">
        <v>19</v>
      </c>
      <c r="J4" s="37">
        <v>20</v>
      </c>
      <c r="K4" s="37">
        <v>21</v>
      </c>
      <c r="L4" s="184" t="s">
        <v>9</v>
      </c>
      <c r="N4" s="92">
        <v>46000</v>
      </c>
      <c r="O4" s="12" t="s">
        <v>10</v>
      </c>
      <c r="P4" s="13">
        <f>SUM(P5:P7)</f>
        <v>534</v>
      </c>
      <c r="Q4" s="73">
        <v>1</v>
      </c>
      <c r="S4" s="92" t="s">
        <v>9</v>
      </c>
      <c r="T4" s="12" t="s">
        <v>10</v>
      </c>
      <c r="U4" s="13">
        <f>SUM(U5:U7)</f>
        <v>84</v>
      </c>
      <c r="V4" s="72">
        <v>1</v>
      </c>
    </row>
    <row r="5" spans="1:22">
      <c r="A5" s="182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9">
        <v>7</v>
      </c>
      <c r="F5" s="11">
        <v>8</v>
      </c>
      <c r="G5" s="82"/>
      <c r="H5" s="83"/>
      <c r="I5" s="83"/>
      <c r="J5" s="83"/>
      <c r="K5" s="84"/>
      <c r="L5" s="185"/>
      <c r="N5" s="93"/>
      <c r="O5" s="14" t="s">
        <v>11</v>
      </c>
      <c r="P5" s="13" cm="1">
        <f t="array" ref="P5">CountByColor(C4:K106, O5)</f>
        <v>77</v>
      </c>
      <c r="Q5" s="74">
        <v>0.14419999999999999</v>
      </c>
      <c r="S5" s="93"/>
      <c r="T5" s="14" t="s">
        <v>11</v>
      </c>
      <c r="U5" s="13" cm="1">
        <f t="array" ref="U5">CountByColor(C4:K19, T5)</f>
        <v>13</v>
      </c>
      <c r="V5" s="71">
        <v>0.15479999999999999</v>
      </c>
    </row>
    <row r="6" spans="1:22">
      <c r="A6" s="182"/>
      <c r="B6" s="8" t="str">
        <f t="shared" si="0"/>
        <v>103</v>
      </c>
      <c r="C6" s="9">
        <v>9</v>
      </c>
      <c r="D6" s="9">
        <v>10</v>
      </c>
      <c r="E6" s="9">
        <v>11</v>
      </c>
      <c r="F6" s="9">
        <v>12</v>
      </c>
      <c r="G6" s="107"/>
      <c r="H6" s="108"/>
      <c r="I6" s="108"/>
      <c r="J6" s="108"/>
      <c r="K6" s="109"/>
      <c r="L6" s="185"/>
      <c r="N6" s="93"/>
      <c r="O6" s="15" t="s">
        <v>12</v>
      </c>
      <c r="P6" s="13" cm="1">
        <f t="array" ref="P6">CountByColor(C4:K106, O6)</f>
        <v>9</v>
      </c>
      <c r="Q6" s="74">
        <v>1.6899999999999998E-2</v>
      </c>
      <c r="S6" s="93"/>
      <c r="T6" s="15" t="s">
        <v>12</v>
      </c>
      <c r="U6" s="13" cm="1">
        <f t="array" ref="U6">CountByColor(C4:K19, T6)</f>
        <v>0</v>
      </c>
      <c r="V6" s="72">
        <v>0</v>
      </c>
    </row>
    <row r="7" spans="1:22">
      <c r="A7" s="183"/>
      <c r="B7" s="8" t="str">
        <f t="shared" si="0"/>
        <v>104</v>
      </c>
      <c r="C7" s="11">
        <v>13</v>
      </c>
      <c r="D7" s="9">
        <v>14</v>
      </c>
      <c r="E7" s="9">
        <v>15</v>
      </c>
      <c r="F7" s="9">
        <v>16</v>
      </c>
      <c r="G7" s="85"/>
      <c r="H7" s="86"/>
      <c r="I7" s="86"/>
      <c r="J7" s="86"/>
      <c r="K7" s="87"/>
      <c r="L7" s="185"/>
      <c r="N7" s="94"/>
      <c r="O7" s="16" t="s">
        <v>13</v>
      </c>
      <c r="P7" s="13" cm="1">
        <f t="array" ref="P7">CountByColor(C4:K106, O7)</f>
        <v>448</v>
      </c>
      <c r="Q7" s="74">
        <v>0.83889999999999998</v>
      </c>
      <c r="S7" s="94"/>
      <c r="T7" s="16" t="s">
        <v>13</v>
      </c>
      <c r="U7" s="13" cm="1">
        <f t="array" ref="U7">CountByColor(C4:K19, T7)</f>
        <v>71</v>
      </c>
      <c r="V7" s="71">
        <v>0.84519999999999995</v>
      </c>
    </row>
    <row r="8" spans="1:22">
      <c r="A8" s="187">
        <v>2</v>
      </c>
      <c r="B8" s="8" t="str">
        <f t="shared" si="0"/>
        <v>201</v>
      </c>
      <c r="C8" s="9">
        <v>22</v>
      </c>
      <c r="D8" s="9">
        <v>23</v>
      </c>
      <c r="E8" s="9">
        <v>24</v>
      </c>
      <c r="F8" s="9">
        <v>25</v>
      </c>
      <c r="G8" s="9">
        <v>38</v>
      </c>
      <c r="H8" s="9">
        <v>39</v>
      </c>
      <c r="I8" s="9">
        <v>40</v>
      </c>
      <c r="J8" s="9">
        <v>41</v>
      </c>
      <c r="K8" s="9">
        <v>42</v>
      </c>
      <c r="L8" s="185"/>
      <c r="N8" s="21"/>
      <c r="T8" s="1"/>
      <c r="U8" s="1"/>
    </row>
    <row r="9" spans="1:22">
      <c r="A9" s="182"/>
      <c r="B9" s="8" t="str">
        <f t="shared" si="0"/>
        <v>202</v>
      </c>
      <c r="C9" s="9">
        <v>26</v>
      </c>
      <c r="D9" s="11">
        <v>27</v>
      </c>
      <c r="E9" s="9">
        <v>28</v>
      </c>
      <c r="F9" s="11">
        <v>29</v>
      </c>
      <c r="G9" s="82"/>
      <c r="H9" s="83"/>
      <c r="I9" s="83"/>
      <c r="J9" s="83"/>
      <c r="K9" s="84"/>
      <c r="L9" s="185"/>
      <c r="S9" s="92" t="s">
        <v>14</v>
      </c>
      <c r="T9" s="12" t="s">
        <v>10</v>
      </c>
      <c r="U9" s="13">
        <f>SUM(U10:U12)</f>
        <v>63</v>
      </c>
      <c r="V9" s="72">
        <v>1</v>
      </c>
    </row>
    <row r="10" spans="1:22">
      <c r="A10" s="182"/>
      <c r="B10" s="8" t="str">
        <f t="shared" si="0"/>
        <v>203</v>
      </c>
      <c r="C10" s="9">
        <v>30</v>
      </c>
      <c r="D10" s="9">
        <v>31</v>
      </c>
      <c r="E10" s="9">
        <v>32</v>
      </c>
      <c r="F10" s="9">
        <v>33</v>
      </c>
      <c r="G10" s="107"/>
      <c r="H10" s="108"/>
      <c r="I10" s="108"/>
      <c r="J10" s="108"/>
      <c r="K10" s="109"/>
      <c r="L10" s="185"/>
      <c r="S10" s="93"/>
      <c r="T10" s="14" t="s">
        <v>11</v>
      </c>
      <c r="U10" s="13" cm="1">
        <f t="array" ref="U10">CountByColor(C20:K31, T10)</f>
        <v>8</v>
      </c>
      <c r="V10" s="71">
        <v>0.127</v>
      </c>
    </row>
    <row r="11" spans="1:22">
      <c r="A11" s="183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85"/>
      <c r="H11" s="86"/>
      <c r="I11" s="86"/>
      <c r="J11" s="86"/>
      <c r="K11" s="87"/>
      <c r="L11" s="185"/>
      <c r="S11" s="93"/>
      <c r="T11" s="15" t="s">
        <v>12</v>
      </c>
      <c r="U11" s="13" cm="1">
        <f t="array" ref="U11">CountByColor(C20:K31, T11)</f>
        <v>1</v>
      </c>
      <c r="V11" s="71">
        <v>1.5900000000000001E-2</v>
      </c>
    </row>
    <row r="12" spans="1:22">
      <c r="A12" s="187">
        <v>3</v>
      </c>
      <c r="B12" s="8" t="str">
        <f t="shared" si="0"/>
        <v>301</v>
      </c>
      <c r="C12" s="9">
        <v>43</v>
      </c>
      <c r="D12" s="9">
        <v>44</v>
      </c>
      <c r="E12" s="9">
        <v>45</v>
      </c>
      <c r="F12" s="9">
        <v>46</v>
      </c>
      <c r="G12" s="9">
        <v>59</v>
      </c>
      <c r="H12" s="9">
        <v>60</v>
      </c>
      <c r="I12" s="9">
        <v>61</v>
      </c>
      <c r="J12" s="9">
        <v>62</v>
      </c>
      <c r="K12" s="9">
        <v>63</v>
      </c>
      <c r="L12" s="185"/>
      <c r="S12" s="94"/>
      <c r="T12" s="16" t="s">
        <v>13</v>
      </c>
      <c r="U12" s="13" cm="1">
        <f t="array" ref="U12">CountByColor(C20:K31, T12)</f>
        <v>54</v>
      </c>
      <c r="V12" s="71">
        <v>0.85709999999999997</v>
      </c>
    </row>
    <row r="13" spans="1:22">
      <c r="A13" s="182"/>
      <c r="B13" s="8" t="str">
        <f t="shared" si="0"/>
        <v>302</v>
      </c>
      <c r="C13" s="9">
        <v>47</v>
      </c>
      <c r="D13" s="9">
        <v>48</v>
      </c>
      <c r="E13" s="9">
        <v>49</v>
      </c>
      <c r="F13" s="9">
        <v>50</v>
      </c>
      <c r="G13" s="82"/>
      <c r="H13" s="83"/>
      <c r="I13" s="83"/>
      <c r="J13" s="83"/>
      <c r="K13" s="84"/>
      <c r="L13" s="185"/>
      <c r="N13" s="33"/>
      <c r="S13" s="1"/>
    </row>
    <row r="14" spans="1:22">
      <c r="A14" s="182"/>
      <c r="B14" s="8" t="str">
        <f t="shared" si="0"/>
        <v>303</v>
      </c>
      <c r="C14" s="9">
        <v>51</v>
      </c>
      <c r="D14" s="9">
        <v>52</v>
      </c>
      <c r="E14" s="9">
        <v>53</v>
      </c>
      <c r="F14" s="9">
        <v>54</v>
      </c>
      <c r="G14" s="107"/>
      <c r="H14" s="108"/>
      <c r="I14" s="108"/>
      <c r="J14" s="108"/>
      <c r="K14" s="109"/>
      <c r="L14" s="185"/>
      <c r="S14" s="92" t="s">
        <v>15</v>
      </c>
      <c r="T14" s="12" t="s">
        <v>10</v>
      </c>
      <c r="U14" s="13">
        <f>SUM(U15:U17)</f>
        <v>65</v>
      </c>
      <c r="V14" s="72">
        <v>1</v>
      </c>
    </row>
    <row r="15" spans="1:22">
      <c r="A15" s="183"/>
      <c r="B15" s="8" t="str">
        <f t="shared" si="0"/>
        <v>304</v>
      </c>
      <c r="C15" s="11">
        <v>55</v>
      </c>
      <c r="D15" s="11">
        <v>56</v>
      </c>
      <c r="E15" s="11">
        <v>57</v>
      </c>
      <c r="F15" s="11">
        <v>58</v>
      </c>
      <c r="G15" s="85"/>
      <c r="H15" s="86"/>
      <c r="I15" s="86"/>
      <c r="J15" s="86"/>
      <c r="K15" s="87"/>
      <c r="L15" s="185"/>
      <c r="S15" s="93"/>
      <c r="T15" s="14" t="s">
        <v>11</v>
      </c>
      <c r="U15" s="13" cm="1">
        <f t="array" ref="U15">CountByColor(C32:K43, T15)</f>
        <v>12</v>
      </c>
      <c r="V15" s="71">
        <v>0.18459999999999999</v>
      </c>
    </row>
    <row r="16" spans="1:22">
      <c r="A16" s="187">
        <v>4</v>
      </c>
      <c r="B16" s="8" t="str">
        <f t="shared" si="0"/>
        <v>401</v>
      </c>
      <c r="C16" s="9">
        <v>64</v>
      </c>
      <c r="D16" s="9">
        <v>65</v>
      </c>
      <c r="E16" s="9">
        <v>66</v>
      </c>
      <c r="F16" s="9">
        <v>67</v>
      </c>
      <c r="G16" s="11">
        <v>80</v>
      </c>
      <c r="H16" s="9">
        <v>81</v>
      </c>
      <c r="I16" s="9">
        <v>82</v>
      </c>
      <c r="J16" s="9">
        <v>83</v>
      </c>
      <c r="K16" s="9">
        <v>84</v>
      </c>
      <c r="L16" s="185"/>
      <c r="S16" s="93"/>
      <c r="T16" s="15" t="s">
        <v>12</v>
      </c>
      <c r="U16" s="13" cm="1">
        <f t="array" ref="U16">CountByColor(C32:K43, T16)</f>
        <v>0</v>
      </c>
      <c r="V16" s="72">
        <v>0</v>
      </c>
    </row>
    <row r="17" spans="1:22">
      <c r="A17" s="182"/>
      <c r="B17" s="8" t="str">
        <f t="shared" si="0"/>
        <v>402</v>
      </c>
      <c r="C17" s="11">
        <v>68</v>
      </c>
      <c r="D17" s="11">
        <v>69</v>
      </c>
      <c r="E17" s="9">
        <v>70</v>
      </c>
      <c r="F17" s="9">
        <v>71</v>
      </c>
      <c r="G17" s="82"/>
      <c r="H17" s="83"/>
      <c r="I17" s="83"/>
      <c r="J17" s="83"/>
      <c r="K17" s="84"/>
      <c r="L17" s="185"/>
      <c r="S17" s="94"/>
      <c r="T17" s="16" t="s">
        <v>13</v>
      </c>
      <c r="U17" s="13" cm="1">
        <f t="array" ref="U17">CountByColor(C28:K39, T17)</f>
        <v>53</v>
      </c>
      <c r="V17" s="71">
        <v>0.81540000000000001</v>
      </c>
    </row>
    <row r="18" spans="1:22">
      <c r="A18" s="182"/>
      <c r="B18" s="8" t="str">
        <f t="shared" si="0"/>
        <v>403</v>
      </c>
      <c r="C18" s="11">
        <v>72</v>
      </c>
      <c r="D18" s="9">
        <v>73</v>
      </c>
      <c r="E18" s="9">
        <v>74</v>
      </c>
      <c r="F18" s="9">
        <v>75</v>
      </c>
      <c r="G18" s="107"/>
      <c r="H18" s="108"/>
      <c r="I18" s="108"/>
      <c r="J18" s="108"/>
      <c r="K18" s="109"/>
      <c r="L18" s="185"/>
      <c r="S18" s="1"/>
    </row>
    <row r="19" spans="1:22" ht="15.75" thickBot="1">
      <c r="A19" s="188"/>
      <c r="B19" s="38" t="str">
        <f t="shared" si="0"/>
        <v>404</v>
      </c>
      <c r="C19" s="39">
        <v>76</v>
      </c>
      <c r="D19" s="39">
        <v>77</v>
      </c>
      <c r="E19" s="39">
        <v>78</v>
      </c>
      <c r="F19" s="39">
        <v>79</v>
      </c>
      <c r="G19" s="193"/>
      <c r="H19" s="194"/>
      <c r="I19" s="194"/>
      <c r="J19" s="194"/>
      <c r="K19" s="195"/>
      <c r="L19" s="186"/>
      <c r="S19" s="92" t="s">
        <v>16</v>
      </c>
      <c r="T19" s="12" t="s">
        <v>10</v>
      </c>
      <c r="U19" s="13">
        <f>SUM(U20:U22)</f>
        <v>63</v>
      </c>
      <c r="V19" s="72">
        <v>1</v>
      </c>
    </row>
    <row r="20" spans="1:22">
      <c r="A20" s="181">
        <v>5</v>
      </c>
      <c r="B20" s="35" t="str">
        <f t="shared" si="0"/>
        <v>501</v>
      </c>
      <c r="C20" s="37">
        <v>1</v>
      </c>
      <c r="D20" s="37">
        <v>2</v>
      </c>
      <c r="E20" s="37">
        <v>3</v>
      </c>
      <c r="F20" s="37">
        <v>4</v>
      </c>
      <c r="G20" s="37">
        <v>17</v>
      </c>
      <c r="H20" s="37">
        <v>18</v>
      </c>
      <c r="I20" s="37">
        <v>19</v>
      </c>
      <c r="J20" s="37">
        <v>20</v>
      </c>
      <c r="K20" s="37">
        <v>21</v>
      </c>
      <c r="L20" s="184" t="s">
        <v>14</v>
      </c>
      <c r="S20" s="93"/>
      <c r="T20" s="14" t="s">
        <v>11</v>
      </c>
      <c r="U20" s="13" cm="1">
        <f t="array" ref="U20">CountByColor(C44:K55, T20)</f>
        <v>9</v>
      </c>
      <c r="V20" s="71">
        <v>0.1429</v>
      </c>
    </row>
    <row r="21" spans="1:22">
      <c r="A21" s="182"/>
      <c r="B21" s="8" t="str">
        <f t="shared" si="0"/>
        <v>502</v>
      </c>
      <c r="C21" s="9">
        <v>5</v>
      </c>
      <c r="D21" s="9">
        <v>6</v>
      </c>
      <c r="E21" s="9">
        <v>7</v>
      </c>
      <c r="F21" s="9">
        <v>8</v>
      </c>
      <c r="G21" s="23"/>
      <c r="H21" s="24"/>
      <c r="I21" s="24"/>
      <c r="J21" s="24"/>
      <c r="K21" s="25"/>
      <c r="L21" s="185"/>
      <c r="R21" s="1"/>
      <c r="S21" s="93"/>
      <c r="T21" s="15" t="s">
        <v>12</v>
      </c>
      <c r="U21" s="13" cm="1">
        <f t="array" ref="U21">CountByColor(C44:K55, T21)</f>
        <v>1</v>
      </c>
      <c r="V21" s="71">
        <v>1.5900000000000001E-2</v>
      </c>
    </row>
    <row r="22" spans="1:22">
      <c r="A22" s="182"/>
      <c r="B22" s="8" t="str">
        <f t="shared" si="0"/>
        <v>503</v>
      </c>
      <c r="C22" s="9">
        <v>9</v>
      </c>
      <c r="D22" s="9">
        <v>10</v>
      </c>
      <c r="E22" s="9">
        <v>11</v>
      </c>
      <c r="F22" s="9">
        <v>12</v>
      </c>
      <c r="G22" s="26"/>
      <c r="H22" s="34"/>
      <c r="I22" s="34"/>
      <c r="J22" s="34"/>
      <c r="K22" s="27"/>
      <c r="L22" s="185"/>
      <c r="S22" s="94"/>
      <c r="T22" s="16" t="s">
        <v>13</v>
      </c>
      <c r="U22" s="13" cm="1">
        <f t="array" ref="U22">CountByColor(C44:K55, T22)</f>
        <v>53</v>
      </c>
      <c r="V22" s="71">
        <v>0.84130000000000005</v>
      </c>
    </row>
    <row r="23" spans="1:22">
      <c r="A23" s="183"/>
      <c r="B23" s="8" t="str">
        <f t="shared" si="0"/>
        <v>504</v>
      </c>
      <c r="C23" s="9">
        <v>13</v>
      </c>
      <c r="D23" s="9">
        <v>14</v>
      </c>
      <c r="E23" s="11">
        <v>15</v>
      </c>
      <c r="F23" s="9">
        <v>16</v>
      </c>
      <c r="G23" s="28"/>
      <c r="H23" s="29"/>
      <c r="I23" s="29"/>
      <c r="J23" s="29"/>
      <c r="K23" s="30"/>
      <c r="L23" s="185"/>
      <c r="S23" s="1"/>
    </row>
    <row r="24" spans="1:22">
      <c r="A24" s="187">
        <v>6</v>
      </c>
      <c r="B24" s="8" t="str">
        <f t="shared" si="0"/>
        <v>601</v>
      </c>
      <c r="C24" s="11">
        <v>22</v>
      </c>
      <c r="D24" s="9">
        <v>23</v>
      </c>
      <c r="E24" s="11">
        <v>24</v>
      </c>
      <c r="F24" s="11">
        <v>25</v>
      </c>
      <c r="G24" s="11">
        <v>38</v>
      </c>
      <c r="H24" s="9">
        <v>39</v>
      </c>
      <c r="I24" s="9">
        <v>40</v>
      </c>
      <c r="J24" s="9">
        <v>41</v>
      </c>
      <c r="K24" s="9">
        <v>42</v>
      </c>
      <c r="L24" s="185"/>
      <c r="S24" s="92" t="s">
        <v>19</v>
      </c>
      <c r="T24" s="12" t="s">
        <v>10</v>
      </c>
      <c r="U24" s="13">
        <f>SUM(U25:U27)</f>
        <v>63</v>
      </c>
      <c r="V24" s="72">
        <v>1</v>
      </c>
    </row>
    <row r="25" spans="1:22">
      <c r="A25" s="182"/>
      <c r="B25" s="8" t="str">
        <f t="shared" si="0"/>
        <v>602</v>
      </c>
      <c r="C25" s="9">
        <v>26</v>
      </c>
      <c r="D25" s="11">
        <v>27</v>
      </c>
      <c r="E25" s="9">
        <v>28</v>
      </c>
      <c r="F25" s="11">
        <v>29</v>
      </c>
      <c r="G25" s="23"/>
      <c r="H25" s="24"/>
      <c r="I25" s="24"/>
      <c r="J25" s="24"/>
      <c r="K25" s="25"/>
      <c r="L25" s="185"/>
      <c r="S25" s="93"/>
      <c r="T25" s="14" t="s">
        <v>11</v>
      </c>
      <c r="U25" s="13" cm="1">
        <f t="array" ref="U25">CountByColor(C56:K67, T25)</f>
        <v>14</v>
      </c>
      <c r="V25" s="71">
        <v>0.22220000000000001</v>
      </c>
    </row>
    <row r="26" spans="1:22">
      <c r="A26" s="182"/>
      <c r="B26" s="8" t="str">
        <f t="shared" si="0"/>
        <v>603</v>
      </c>
      <c r="C26" s="9">
        <v>30</v>
      </c>
      <c r="D26" s="9">
        <v>31</v>
      </c>
      <c r="E26" s="9">
        <v>32</v>
      </c>
      <c r="F26" s="9">
        <v>33</v>
      </c>
      <c r="G26" s="26"/>
      <c r="H26" s="34"/>
      <c r="I26" s="34"/>
      <c r="J26" s="34"/>
      <c r="K26" s="27"/>
      <c r="L26" s="185"/>
      <c r="S26" s="93"/>
      <c r="T26" s="15" t="s">
        <v>12</v>
      </c>
      <c r="U26" s="13" cm="1">
        <f t="array" ref="U26">CountByColor(C56:K67, T26)</f>
        <v>3</v>
      </c>
      <c r="V26" s="71">
        <v>4.7600000000000003E-2</v>
      </c>
    </row>
    <row r="27" spans="1:22">
      <c r="A27" s="183"/>
      <c r="B27" s="8" t="str">
        <f t="shared" si="0"/>
        <v>604</v>
      </c>
      <c r="C27" s="11">
        <v>34</v>
      </c>
      <c r="D27" s="9">
        <v>35</v>
      </c>
      <c r="E27" s="9">
        <v>36</v>
      </c>
      <c r="F27" s="9">
        <v>37</v>
      </c>
      <c r="G27" s="28"/>
      <c r="H27" s="29"/>
      <c r="I27" s="29"/>
      <c r="J27" s="29"/>
      <c r="K27" s="30"/>
      <c r="L27" s="185"/>
      <c r="S27" s="94"/>
      <c r="T27" s="16" t="s">
        <v>13</v>
      </c>
      <c r="U27" s="13" cm="1">
        <f t="array" ref="U27">CountByColor(C56:K67, T27)</f>
        <v>46</v>
      </c>
      <c r="V27" s="71">
        <v>0.73019999999999996</v>
      </c>
    </row>
    <row r="28" spans="1:22">
      <c r="A28" s="187">
        <v>7</v>
      </c>
      <c r="B28" s="8" t="str">
        <f t="shared" si="0"/>
        <v>701</v>
      </c>
      <c r="C28" s="9">
        <v>43</v>
      </c>
      <c r="D28" s="9">
        <v>44</v>
      </c>
      <c r="E28" s="9">
        <v>45</v>
      </c>
      <c r="F28" s="9">
        <v>46</v>
      </c>
      <c r="G28" s="9">
        <v>59</v>
      </c>
      <c r="H28" s="9">
        <v>60</v>
      </c>
      <c r="I28" s="9">
        <v>61</v>
      </c>
      <c r="J28" s="9">
        <v>62</v>
      </c>
      <c r="K28" s="9">
        <v>63</v>
      </c>
      <c r="L28" s="185"/>
      <c r="S28" s="1"/>
    </row>
    <row r="29" spans="1:22">
      <c r="A29" s="182"/>
      <c r="B29" s="8" t="str">
        <f t="shared" si="0"/>
        <v>702</v>
      </c>
      <c r="C29" s="9">
        <v>47</v>
      </c>
      <c r="D29" s="9">
        <v>48</v>
      </c>
      <c r="E29" s="9">
        <v>49</v>
      </c>
      <c r="F29" s="9">
        <v>50</v>
      </c>
      <c r="G29" s="23"/>
      <c r="H29" s="24"/>
      <c r="I29" s="24"/>
      <c r="J29" s="24"/>
      <c r="K29" s="25"/>
      <c r="L29" s="185"/>
      <c r="S29" s="92" t="s">
        <v>20</v>
      </c>
      <c r="T29" s="12" t="s">
        <v>10</v>
      </c>
      <c r="U29" s="13">
        <f>SUM(U30:U32)</f>
        <v>63</v>
      </c>
      <c r="V29" s="72">
        <v>1</v>
      </c>
    </row>
    <row r="30" spans="1:22">
      <c r="A30" s="182"/>
      <c r="B30" s="8" t="str">
        <f t="shared" si="0"/>
        <v>703</v>
      </c>
      <c r="C30" s="9">
        <v>51</v>
      </c>
      <c r="D30" s="9">
        <v>52</v>
      </c>
      <c r="E30" s="9">
        <v>53</v>
      </c>
      <c r="F30" s="10">
        <v>54</v>
      </c>
      <c r="G30" s="26"/>
      <c r="H30" s="34"/>
      <c r="I30" s="34"/>
      <c r="J30" s="34"/>
      <c r="K30" s="27"/>
      <c r="L30" s="185"/>
      <c r="S30" s="93"/>
      <c r="T30" s="14" t="s">
        <v>11</v>
      </c>
      <c r="U30" s="13" cm="1">
        <f t="array" ref="U30">CountByColor(C68:K79, T30)</f>
        <v>11</v>
      </c>
      <c r="V30" s="71">
        <v>0.17460000000000001</v>
      </c>
    </row>
    <row r="31" spans="1:22" ht="15.75" thickBot="1">
      <c r="A31" s="188"/>
      <c r="B31" s="38" t="str">
        <f t="shared" si="0"/>
        <v>704</v>
      </c>
      <c r="C31" s="39">
        <v>55</v>
      </c>
      <c r="D31" s="39">
        <v>56</v>
      </c>
      <c r="E31" s="39">
        <v>57</v>
      </c>
      <c r="F31" s="39">
        <v>58</v>
      </c>
      <c r="G31" s="40"/>
      <c r="H31" s="41"/>
      <c r="I31" s="41"/>
      <c r="J31" s="41"/>
      <c r="K31" s="42"/>
      <c r="L31" s="186"/>
      <c r="O31" s="6"/>
      <c r="S31" s="93"/>
      <c r="T31" s="15" t="s">
        <v>12</v>
      </c>
      <c r="U31" s="13" cm="1">
        <f t="array" ref="U31">CountByColor(C68:K79, T31)</f>
        <v>1</v>
      </c>
      <c r="V31" s="71">
        <v>1.5900000000000001E-2</v>
      </c>
    </row>
    <row r="32" spans="1:22">
      <c r="A32" s="181">
        <v>8</v>
      </c>
      <c r="B32" s="35" t="str">
        <f t="shared" si="0"/>
        <v>801</v>
      </c>
      <c r="C32" s="37">
        <v>1</v>
      </c>
      <c r="D32" s="36">
        <v>2</v>
      </c>
      <c r="E32" s="37">
        <v>3</v>
      </c>
      <c r="F32" s="37">
        <v>4</v>
      </c>
      <c r="G32" s="36">
        <v>17</v>
      </c>
      <c r="H32" s="37">
        <v>18</v>
      </c>
      <c r="I32" s="37">
        <v>19</v>
      </c>
      <c r="J32" s="37">
        <v>20</v>
      </c>
      <c r="K32" s="37">
        <v>21</v>
      </c>
      <c r="L32" s="184" t="s">
        <v>15</v>
      </c>
      <c r="O32" s="6"/>
      <c r="S32" s="94"/>
      <c r="T32" s="16" t="s">
        <v>13</v>
      </c>
      <c r="U32" s="13" cm="1">
        <f t="array" ref="U32">CountByColor(C68:K79, T32)</f>
        <v>51</v>
      </c>
      <c r="V32" s="71">
        <v>0.8095</v>
      </c>
    </row>
    <row r="33" spans="1:22">
      <c r="A33" s="182"/>
      <c r="B33" s="8" t="str">
        <f t="shared" si="0"/>
        <v>802</v>
      </c>
      <c r="C33" s="9">
        <v>5</v>
      </c>
      <c r="D33" s="9">
        <v>6</v>
      </c>
      <c r="E33" s="9">
        <v>7</v>
      </c>
      <c r="F33" s="9">
        <v>8</v>
      </c>
      <c r="G33" s="23"/>
      <c r="H33" s="24"/>
      <c r="I33" s="24"/>
      <c r="J33" s="24"/>
      <c r="K33" s="25"/>
      <c r="L33" s="185"/>
      <c r="O33" s="6"/>
      <c r="S33" s="1"/>
    </row>
    <row r="34" spans="1:22">
      <c r="A34" s="182"/>
      <c r="B34" s="8" t="str">
        <f t="shared" si="0"/>
        <v>803</v>
      </c>
      <c r="C34" s="11">
        <v>9</v>
      </c>
      <c r="D34" s="9">
        <v>10</v>
      </c>
      <c r="E34" s="9">
        <v>11</v>
      </c>
      <c r="F34" s="9">
        <v>12</v>
      </c>
      <c r="G34" s="26"/>
      <c r="H34" s="34"/>
      <c r="I34" s="34"/>
      <c r="J34" s="34"/>
      <c r="K34" s="27"/>
      <c r="L34" s="185"/>
      <c r="O34" s="6"/>
      <c r="S34" s="92" t="s">
        <v>21</v>
      </c>
      <c r="T34" s="12" t="s">
        <v>10</v>
      </c>
      <c r="U34" s="13">
        <f>SUM(U35:U37)</f>
        <v>63</v>
      </c>
      <c r="V34" s="72">
        <v>1</v>
      </c>
    </row>
    <row r="35" spans="1:22">
      <c r="A35" s="183"/>
      <c r="B35" s="8" t="str">
        <f t="shared" si="0"/>
        <v>804</v>
      </c>
      <c r="C35" s="9">
        <v>13</v>
      </c>
      <c r="D35" s="11">
        <v>14</v>
      </c>
      <c r="E35" s="11">
        <v>15</v>
      </c>
      <c r="F35" s="11">
        <v>16</v>
      </c>
      <c r="G35" s="28"/>
      <c r="H35" s="29"/>
      <c r="I35" s="29"/>
      <c r="J35" s="29"/>
      <c r="K35" s="30"/>
      <c r="L35" s="185"/>
      <c r="O35" s="6"/>
      <c r="S35" s="93"/>
      <c r="T35" s="14" t="s">
        <v>11</v>
      </c>
      <c r="U35" s="13" cm="1">
        <f t="array" ref="U35">CountByColor(C80:K91, T35)</f>
        <v>7</v>
      </c>
      <c r="V35" s="71">
        <v>0.1111</v>
      </c>
    </row>
    <row r="36" spans="1:22">
      <c r="A36" s="187">
        <v>9</v>
      </c>
      <c r="B36" s="8" t="str">
        <f t="shared" si="0"/>
        <v>901</v>
      </c>
      <c r="C36" s="9">
        <v>22</v>
      </c>
      <c r="D36" s="9">
        <v>23</v>
      </c>
      <c r="E36" s="9">
        <v>24</v>
      </c>
      <c r="F36" s="9">
        <v>25</v>
      </c>
      <c r="G36" s="9">
        <v>38</v>
      </c>
      <c r="H36" s="9">
        <v>39</v>
      </c>
      <c r="I36" s="9">
        <v>40</v>
      </c>
      <c r="J36" s="9">
        <v>41</v>
      </c>
      <c r="K36" s="9">
        <v>42</v>
      </c>
      <c r="L36" s="185"/>
      <c r="N36" s="1"/>
      <c r="O36" s="6"/>
      <c r="S36" s="93"/>
      <c r="T36" s="15" t="s">
        <v>12</v>
      </c>
      <c r="U36" s="13" cm="1">
        <f t="array" ref="U36">CountByColor(C80:K91, T36)</f>
        <v>2</v>
      </c>
      <c r="V36" s="71">
        <v>3.1699999999999999E-2</v>
      </c>
    </row>
    <row r="37" spans="1:22">
      <c r="A37" s="182"/>
      <c r="B37" s="8" t="str">
        <f t="shared" si="0"/>
        <v>902</v>
      </c>
      <c r="C37" s="9">
        <v>26</v>
      </c>
      <c r="D37" s="11">
        <v>27</v>
      </c>
      <c r="E37" s="11">
        <v>28</v>
      </c>
      <c r="F37" s="11">
        <v>29</v>
      </c>
      <c r="G37" s="82"/>
      <c r="H37" s="83"/>
      <c r="I37" s="83"/>
      <c r="J37" s="83"/>
      <c r="K37" s="84"/>
      <c r="L37" s="185"/>
      <c r="N37" s="1"/>
      <c r="O37" s="6"/>
      <c r="S37" s="94"/>
      <c r="T37" s="16" t="s">
        <v>13</v>
      </c>
      <c r="U37" s="13" cm="1">
        <f t="array" ref="U37">CountByColor(C80:K91, T37)</f>
        <v>54</v>
      </c>
      <c r="V37" s="71">
        <v>0.85709999999999997</v>
      </c>
    </row>
    <row r="38" spans="1:22">
      <c r="A38" s="182"/>
      <c r="B38" s="8" t="str">
        <f t="shared" si="0"/>
        <v>903</v>
      </c>
      <c r="C38" s="9">
        <v>30</v>
      </c>
      <c r="D38" s="9">
        <v>31</v>
      </c>
      <c r="E38" s="9">
        <v>32</v>
      </c>
      <c r="F38" s="9">
        <v>33</v>
      </c>
      <c r="G38" s="107"/>
      <c r="H38" s="108"/>
      <c r="I38" s="108"/>
      <c r="J38" s="108"/>
      <c r="K38" s="109"/>
      <c r="L38" s="185"/>
      <c r="N38" s="1"/>
      <c r="S38" s="1"/>
    </row>
    <row r="39" spans="1:22">
      <c r="A39" s="183"/>
      <c r="B39" s="8" t="str">
        <f t="shared" si="0"/>
        <v>904</v>
      </c>
      <c r="C39" s="9">
        <v>34</v>
      </c>
      <c r="D39" s="9">
        <v>35</v>
      </c>
      <c r="E39" s="9">
        <v>36</v>
      </c>
      <c r="F39" s="9">
        <v>37</v>
      </c>
      <c r="G39" s="85"/>
      <c r="H39" s="86"/>
      <c r="I39" s="86"/>
      <c r="J39" s="86"/>
      <c r="K39" s="87"/>
      <c r="L39" s="185"/>
      <c r="N39" s="17"/>
      <c r="S39" s="92" t="s">
        <v>22</v>
      </c>
      <c r="T39" s="12" t="s">
        <v>10</v>
      </c>
      <c r="U39" s="13">
        <f>SUM(U40:U42)</f>
        <v>72</v>
      </c>
      <c r="V39" s="72">
        <v>1</v>
      </c>
    </row>
    <row r="40" spans="1:22">
      <c r="A40" s="187">
        <v>10</v>
      </c>
      <c r="B40" s="8" t="str">
        <f t="shared" si="0"/>
        <v>1001</v>
      </c>
      <c r="C40" s="9">
        <v>43</v>
      </c>
      <c r="D40" s="9">
        <v>44</v>
      </c>
      <c r="E40" s="9">
        <v>45</v>
      </c>
      <c r="F40" s="9">
        <v>46</v>
      </c>
      <c r="G40" s="9">
        <v>59</v>
      </c>
      <c r="H40" s="11">
        <v>60</v>
      </c>
      <c r="I40" s="9">
        <v>61</v>
      </c>
      <c r="J40" s="9">
        <v>62</v>
      </c>
      <c r="K40" s="9">
        <v>63</v>
      </c>
      <c r="L40" s="185"/>
      <c r="M40" s="1"/>
      <c r="N40" s="6"/>
      <c r="R40" s="1"/>
      <c r="S40" s="93"/>
      <c r="T40" s="14" t="s">
        <v>11</v>
      </c>
      <c r="U40" s="13" cm="1">
        <f t="array" ref="U40">CountByColor(C92:L106, T40)</f>
        <v>3</v>
      </c>
      <c r="V40" s="71">
        <v>4.1700000000000001E-2</v>
      </c>
    </row>
    <row r="41" spans="1:22">
      <c r="A41" s="182"/>
      <c r="B41" s="8" t="str">
        <f t="shared" si="0"/>
        <v>1002</v>
      </c>
      <c r="C41" s="9">
        <v>47</v>
      </c>
      <c r="D41" s="11">
        <v>48</v>
      </c>
      <c r="E41" s="11">
        <v>49</v>
      </c>
      <c r="F41" s="11">
        <v>50</v>
      </c>
      <c r="G41" s="82"/>
      <c r="H41" s="83"/>
      <c r="I41" s="83"/>
      <c r="J41" s="83"/>
      <c r="K41" s="84"/>
      <c r="L41" s="185"/>
      <c r="M41" s="1"/>
      <c r="N41" s="6"/>
      <c r="R41" s="1"/>
      <c r="S41" s="93"/>
      <c r="T41" s="15" t="s">
        <v>12</v>
      </c>
      <c r="U41" s="13" cm="1">
        <f t="array" ref="U41">CountByColor(C92:K106, T41)</f>
        <v>1</v>
      </c>
      <c r="V41" s="71">
        <v>1.3899999999999999E-2</v>
      </c>
    </row>
    <row r="42" spans="1:22">
      <c r="A42" s="182"/>
      <c r="B42" s="8" t="str">
        <f t="shared" si="0"/>
        <v>1003</v>
      </c>
      <c r="C42" s="9">
        <v>51</v>
      </c>
      <c r="D42" s="9">
        <v>52</v>
      </c>
      <c r="E42" s="9">
        <v>53</v>
      </c>
      <c r="F42" s="9">
        <v>54</v>
      </c>
      <c r="G42" s="107"/>
      <c r="H42" s="108"/>
      <c r="I42" s="108"/>
      <c r="J42" s="108"/>
      <c r="K42" s="109"/>
      <c r="L42" s="185"/>
      <c r="M42" s="1"/>
      <c r="N42" s="6"/>
      <c r="R42" s="1"/>
      <c r="S42" s="94"/>
      <c r="T42" s="16" t="s">
        <v>13</v>
      </c>
      <c r="U42" s="13" cm="1">
        <f t="array" ref="U42">CountByColor(C92:K106, T42)</f>
        <v>68</v>
      </c>
      <c r="V42" s="71">
        <v>0.94440000000000002</v>
      </c>
    </row>
    <row r="43" spans="1:22" ht="15.75" thickBot="1">
      <c r="A43" s="188"/>
      <c r="B43" s="38" t="str">
        <f t="shared" si="0"/>
        <v>1004</v>
      </c>
      <c r="C43" s="39">
        <v>55</v>
      </c>
      <c r="D43" s="39">
        <v>56</v>
      </c>
      <c r="E43" s="39">
        <v>57</v>
      </c>
      <c r="F43" s="39">
        <v>58</v>
      </c>
      <c r="G43" s="193"/>
      <c r="H43" s="194"/>
      <c r="I43" s="194"/>
      <c r="J43" s="194"/>
      <c r="K43" s="195"/>
      <c r="L43" s="186"/>
      <c r="M43" s="1"/>
      <c r="N43" s="6"/>
      <c r="R43" s="1"/>
    </row>
    <row r="44" spans="1:22">
      <c r="A44" s="181">
        <v>11</v>
      </c>
      <c r="B44" s="35" t="str">
        <f t="shared" si="0"/>
        <v>1101</v>
      </c>
      <c r="C44" s="37">
        <v>1</v>
      </c>
      <c r="D44" s="37">
        <v>2</v>
      </c>
      <c r="E44" s="37">
        <v>3</v>
      </c>
      <c r="F44" s="37">
        <v>4</v>
      </c>
      <c r="G44" s="36">
        <v>17</v>
      </c>
      <c r="H44" s="36">
        <v>18</v>
      </c>
      <c r="I44" s="37">
        <v>19</v>
      </c>
      <c r="J44" s="37">
        <v>20</v>
      </c>
      <c r="K44" s="37">
        <v>21</v>
      </c>
      <c r="L44" s="184" t="s">
        <v>16</v>
      </c>
      <c r="M44" s="1"/>
      <c r="N44" s="6"/>
      <c r="R44" s="1"/>
    </row>
    <row r="45" spans="1:22">
      <c r="A45" s="182"/>
      <c r="B45" s="8" t="str">
        <f t="shared" si="0"/>
        <v>1102</v>
      </c>
      <c r="C45" s="9">
        <v>5</v>
      </c>
      <c r="D45" s="9">
        <v>6</v>
      </c>
      <c r="E45" s="9">
        <v>7</v>
      </c>
      <c r="F45" s="9">
        <v>8</v>
      </c>
      <c r="G45" s="23"/>
      <c r="H45" s="24"/>
      <c r="I45" s="24"/>
      <c r="J45" s="24"/>
      <c r="K45" s="25"/>
      <c r="L45" s="185"/>
      <c r="M45" s="1"/>
      <c r="N45" s="6"/>
      <c r="R45" s="1"/>
    </row>
    <row r="46" spans="1:22">
      <c r="A46" s="182"/>
      <c r="B46" s="8" t="str">
        <f t="shared" si="0"/>
        <v>1103</v>
      </c>
      <c r="C46" s="9">
        <v>9</v>
      </c>
      <c r="D46" s="11">
        <v>10</v>
      </c>
      <c r="E46" s="10">
        <v>11</v>
      </c>
      <c r="F46" s="9">
        <v>12</v>
      </c>
      <c r="G46" s="26"/>
      <c r="H46" s="34"/>
      <c r="I46" s="34"/>
      <c r="J46" s="34"/>
      <c r="K46" s="27"/>
      <c r="L46" s="185"/>
      <c r="M46" s="1"/>
      <c r="N46" s="6"/>
      <c r="R46" s="1"/>
    </row>
    <row r="47" spans="1:22">
      <c r="A47" s="183"/>
      <c r="B47" s="8" t="str">
        <f t="shared" si="0"/>
        <v>1104</v>
      </c>
      <c r="C47" s="9">
        <v>13</v>
      </c>
      <c r="D47" s="9">
        <v>14</v>
      </c>
      <c r="E47" s="9">
        <v>15</v>
      </c>
      <c r="F47" s="9">
        <v>16</v>
      </c>
      <c r="G47" s="28"/>
      <c r="H47" s="29"/>
      <c r="I47" s="29"/>
      <c r="J47" s="29"/>
      <c r="K47" s="30"/>
      <c r="L47" s="185"/>
      <c r="M47" s="1"/>
      <c r="N47" s="6"/>
      <c r="R47" s="1"/>
    </row>
    <row r="48" spans="1:22">
      <c r="A48" s="196">
        <v>12</v>
      </c>
      <c r="B48" s="8" t="str">
        <f t="shared" si="0"/>
        <v>1201</v>
      </c>
      <c r="C48" s="9">
        <v>22</v>
      </c>
      <c r="D48" s="9">
        <v>23</v>
      </c>
      <c r="E48" s="9">
        <v>24</v>
      </c>
      <c r="F48" s="9">
        <v>25</v>
      </c>
      <c r="G48" s="9">
        <v>38</v>
      </c>
      <c r="H48" s="9">
        <v>39</v>
      </c>
      <c r="I48" s="9">
        <v>40</v>
      </c>
      <c r="J48" s="9">
        <v>41</v>
      </c>
      <c r="K48" s="9">
        <v>42</v>
      </c>
      <c r="L48" s="185"/>
      <c r="M48" s="1"/>
      <c r="N48" s="6"/>
      <c r="O48" s="6"/>
      <c r="R48" s="1"/>
    </row>
    <row r="49" spans="1:18">
      <c r="A49" s="196"/>
      <c r="B49" s="8" t="str">
        <f t="shared" si="0"/>
        <v>1202</v>
      </c>
      <c r="C49" s="9">
        <v>26</v>
      </c>
      <c r="D49" s="11">
        <v>27</v>
      </c>
      <c r="E49" s="11">
        <v>28</v>
      </c>
      <c r="F49" s="11">
        <v>29</v>
      </c>
      <c r="G49" s="82"/>
      <c r="H49" s="83"/>
      <c r="I49" s="83"/>
      <c r="J49" s="83"/>
      <c r="K49" s="84"/>
      <c r="L49" s="185"/>
      <c r="M49" s="1"/>
      <c r="N49" s="6"/>
      <c r="O49" s="6"/>
      <c r="R49" s="1"/>
    </row>
    <row r="50" spans="1:18">
      <c r="A50" s="196"/>
      <c r="B50" s="8" t="str">
        <f t="shared" si="0"/>
        <v>1203</v>
      </c>
      <c r="C50" s="9">
        <v>30</v>
      </c>
      <c r="D50" s="11">
        <v>31</v>
      </c>
      <c r="E50" s="11">
        <v>32</v>
      </c>
      <c r="F50" s="9">
        <v>33</v>
      </c>
      <c r="G50" s="107"/>
      <c r="H50" s="108"/>
      <c r="I50" s="108"/>
      <c r="J50" s="108"/>
      <c r="K50" s="109"/>
      <c r="L50" s="185"/>
      <c r="O50" s="6"/>
    </row>
    <row r="51" spans="1:18">
      <c r="A51" s="196"/>
      <c r="B51" s="8" t="str">
        <f t="shared" si="0"/>
        <v>1204</v>
      </c>
      <c r="C51" s="9">
        <v>34</v>
      </c>
      <c r="D51" s="9">
        <v>35</v>
      </c>
      <c r="E51" s="9">
        <v>36</v>
      </c>
      <c r="F51" s="9">
        <v>37</v>
      </c>
      <c r="G51" s="85"/>
      <c r="H51" s="86"/>
      <c r="I51" s="86"/>
      <c r="J51" s="86"/>
      <c r="K51" s="87"/>
      <c r="L51" s="185"/>
      <c r="O51" s="6"/>
    </row>
    <row r="52" spans="1:18">
      <c r="A52" s="187">
        <v>13</v>
      </c>
      <c r="B52" s="8" t="str">
        <f t="shared" si="0"/>
        <v>1301</v>
      </c>
      <c r="C52" s="9">
        <v>43</v>
      </c>
      <c r="D52" s="9">
        <v>44</v>
      </c>
      <c r="E52" s="9">
        <v>45</v>
      </c>
      <c r="F52" s="9">
        <v>46</v>
      </c>
      <c r="G52" s="9">
        <v>59</v>
      </c>
      <c r="H52" s="9">
        <v>60</v>
      </c>
      <c r="I52" s="9">
        <v>61</v>
      </c>
      <c r="J52" s="9">
        <v>62</v>
      </c>
      <c r="K52" s="9">
        <v>63</v>
      </c>
      <c r="L52" s="185"/>
      <c r="O52" s="6"/>
    </row>
    <row r="53" spans="1:18">
      <c r="A53" s="182"/>
      <c r="B53" s="8" t="str">
        <f t="shared" si="0"/>
        <v>1302</v>
      </c>
      <c r="C53" s="9">
        <v>47</v>
      </c>
      <c r="D53" s="9">
        <v>48</v>
      </c>
      <c r="E53" s="9">
        <v>49</v>
      </c>
      <c r="F53" s="11">
        <v>50</v>
      </c>
      <c r="G53" s="82"/>
      <c r="H53" s="83"/>
      <c r="I53" s="83"/>
      <c r="J53" s="83"/>
      <c r="K53" s="84"/>
      <c r="L53" s="185"/>
      <c r="O53" s="6"/>
    </row>
    <row r="54" spans="1:18">
      <c r="A54" s="182"/>
      <c r="B54" s="8" t="str">
        <f t="shared" si="0"/>
        <v>1303</v>
      </c>
      <c r="C54" s="9">
        <v>51</v>
      </c>
      <c r="D54" s="9">
        <v>52</v>
      </c>
      <c r="E54" s="9">
        <v>53</v>
      </c>
      <c r="F54" s="9">
        <v>54</v>
      </c>
      <c r="G54" s="107"/>
      <c r="H54" s="108"/>
      <c r="I54" s="108"/>
      <c r="J54" s="108"/>
      <c r="K54" s="109"/>
      <c r="L54" s="185"/>
      <c r="O54" s="6"/>
    </row>
    <row r="55" spans="1:18" ht="15.75" thickBot="1">
      <c r="A55" s="188"/>
      <c r="B55" s="38" t="str">
        <f t="shared" si="0"/>
        <v>1304</v>
      </c>
      <c r="C55" s="39">
        <v>55</v>
      </c>
      <c r="D55" s="39">
        <v>56</v>
      </c>
      <c r="E55" s="39">
        <v>57</v>
      </c>
      <c r="F55" s="39">
        <v>58</v>
      </c>
      <c r="G55" s="193"/>
      <c r="H55" s="194"/>
      <c r="I55" s="194"/>
      <c r="J55" s="194"/>
      <c r="K55" s="195"/>
      <c r="L55" s="186"/>
      <c r="O55" s="6"/>
    </row>
    <row r="56" spans="1:18">
      <c r="A56" s="181">
        <v>14</v>
      </c>
      <c r="B56" s="35" t="str">
        <f t="shared" si="0"/>
        <v>1401</v>
      </c>
      <c r="C56" s="36">
        <v>1</v>
      </c>
      <c r="D56" s="36">
        <v>2</v>
      </c>
      <c r="E56" s="43">
        <v>3</v>
      </c>
      <c r="F56" s="36">
        <v>4</v>
      </c>
      <c r="G56" s="37">
        <v>17</v>
      </c>
      <c r="H56" s="37">
        <v>18</v>
      </c>
      <c r="I56" s="37">
        <v>19</v>
      </c>
      <c r="J56" s="37">
        <v>20</v>
      </c>
      <c r="K56" s="37">
        <v>21</v>
      </c>
      <c r="L56" s="184" t="s">
        <v>18</v>
      </c>
      <c r="O56" s="6"/>
    </row>
    <row r="57" spans="1:18">
      <c r="A57" s="182"/>
      <c r="B57" s="8" t="str">
        <f t="shared" si="0"/>
        <v>1402</v>
      </c>
      <c r="C57" s="9">
        <v>5</v>
      </c>
      <c r="D57" s="9">
        <v>6</v>
      </c>
      <c r="E57" s="11">
        <v>7</v>
      </c>
      <c r="F57" s="9">
        <v>8</v>
      </c>
      <c r="I57" s="24"/>
      <c r="J57" s="24"/>
      <c r="K57" s="25"/>
      <c r="L57" s="185"/>
      <c r="O57" s="6"/>
    </row>
    <row r="58" spans="1:18">
      <c r="A58" s="182"/>
      <c r="B58" s="8" t="str">
        <f t="shared" si="0"/>
        <v>1403</v>
      </c>
      <c r="C58" s="10">
        <v>9</v>
      </c>
      <c r="D58" s="11">
        <v>10</v>
      </c>
      <c r="E58" s="11">
        <v>11</v>
      </c>
      <c r="F58" s="9">
        <v>12</v>
      </c>
      <c r="G58" s="23"/>
      <c r="H58" s="24"/>
      <c r="I58" s="34"/>
      <c r="J58" s="34"/>
      <c r="K58" s="27"/>
      <c r="L58" s="185"/>
      <c r="O58" s="6"/>
    </row>
    <row r="59" spans="1:18">
      <c r="A59" s="183"/>
      <c r="B59" s="8" t="str">
        <f t="shared" si="0"/>
        <v>1404</v>
      </c>
      <c r="C59" s="9">
        <v>13</v>
      </c>
      <c r="D59" s="9">
        <v>14</v>
      </c>
      <c r="E59" s="9">
        <v>15</v>
      </c>
      <c r="F59" s="9">
        <v>16</v>
      </c>
      <c r="G59" s="28"/>
      <c r="H59" s="29"/>
      <c r="I59" s="29"/>
      <c r="J59" s="29"/>
      <c r="K59" s="30"/>
      <c r="L59" s="185"/>
      <c r="O59" s="6"/>
    </row>
    <row r="60" spans="1:18">
      <c r="A60" s="187">
        <v>15</v>
      </c>
      <c r="B60" s="8" t="str">
        <f t="shared" si="0"/>
        <v>1501</v>
      </c>
      <c r="C60" s="9">
        <v>22</v>
      </c>
      <c r="D60" s="9">
        <v>23</v>
      </c>
      <c r="E60" s="9">
        <v>24</v>
      </c>
      <c r="F60" s="9">
        <v>25</v>
      </c>
      <c r="G60" s="9">
        <v>38</v>
      </c>
      <c r="H60" s="11">
        <v>39</v>
      </c>
      <c r="I60" s="9">
        <v>40</v>
      </c>
      <c r="J60" s="9">
        <v>41</v>
      </c>
      <c r="K60" s="9">
        <v>42</v>
      </c>
      <c r="L60" s="185"/>
      <c r="O60" s="6"/>
    </row>
    <row r="61" spans="1:18">
      <c r="A61" s="182"/>
      <c r="B61" s="8" t="str">
        <f t="shared" si="0"/>
        <v>1502</v>
      </c>
      <c r="C61" s="9">
        <v>26</v>
      </c>
      <c r="D61" s="11">
        <v>27</v>
      </c>
      <c r="E61" s="11">
        <v>28</v>
      </c>
      <c r="F61" s="9">
        <v>29</v>
      </c>
      <c r="G61" s="82"/>
      <c r="H61" s="83"/>
      <c r="I61" s="83"/>
      <c r="J61" s="83"/>
      <c r="K61" s="84"/>
      <c r="L61" s="185"/>
      <c r="O61" s="6"/>
    </row>
    <row r="62" spans="1:18">
      <c r="A62" s="182"/>
      <c r="B62" s="8" t="str">
        <f t="shared" si="0"/>
        <v>1503</v>
      </c>
      <c r="C62" s="9">
        <v>30</v>
      </c>
      <c r="D62" s="9">
        <v>31</v>
      </c>
      <c r="E62" s="10">
        <v>32</v>
      </c>
      <c r="F62" s="9">
        <v>33</v>
      </c>
      <c r="G62" s="107"/>
      <c r="H62" s="108"/>
      <c r="I62" s="108"/>
      <c r="J62" s="108"/>
      <c r="K62" s="109"/>
      <c r="L62" s="185"/>
      <c r="O62" s="6"/>
    </row>
    <row r="63" spans="1:18">
      <c r="A63" s="183"/>
      <c r="B63" s="8" t="str">
        <f t="shared" si="0"/>
        <v>1504</v>
      </c>
      <c r="C63" s="9">
        <v>34</v>
      </c>
      <c r="D63" s="9">
        <v>35</v>
      </c>
      <c r="E63" s="9">
        <v>36</v>
      </c>
      <c r="F63" s="9">
        <v>37</v>
      </c>
      <c r="G63" s="85"/>
      <c r="H63" s="86"/>
      <c r="I63" s="86"/>
      <c r="J63" s="86"/>
      <c r="K63" s="87"/>
      <c r="L63" s="185"/>
      <c r="O63" s="6"/>
    </row>
    <row r="64" spans="1:18">
      <c r="A64" s="187">
        <v>16</v>
      </c>
      <c r="B64" s="8" t="str">
        <f t="shared" si="0"/>
        <v>1601</v>
      </c>
      <c r="C64" s="9">
        <v>43</v>
      </c>
      <c r="D64" s="9">
        <v>44</v>
      </c>
      <c r="E64" s="9">
        <v>45</v>
      </c>
      <c r="F64" s="9">
        <v>46</v>
      </c>
      <c r="G64" s="9">
        <v>59</v>
      </c>
      <c r="H64" s="9">
        <v>60</v>
      </c>
      <c r="I64" s="9">
        <v>61</v>
      </c>
      <c r="J64" s="9">
        <v>62</v>
      </c>
      <c r="K64" s="9">
        <v>63</v>
      </c>
      <c r="L64" s="185"/>
      <c r="O64" s="6"/>
    </row>
    <row r="65" spans="1:15">
      <c r="A65" s="182"/>
      <c r="B65" s="8" t="str">
        <f t="shared" si="0"/>
        <v>1602</v>
      </c>
      <c r="C65" s="9">
        <v>47</v>
      </c>
      <c r="D65" s="9">
        <v>48</v>
      </c>
      <c r="E65" s="9">
        <v>49</v>
      </c>
      <c r="F65" s="9">
        <v>50</v>
      </c>
      <c r="G65" s="82"/>
      <c r="H65" s="83"/>
      <c r="I65" s="83"/>
      <c r="J65" s="83"/>
      <c r="K65" s="84"/>
      <c r="L65" s="185"/>
      <c r="O65" s="6"/>
    </row>
    <row r="66" spans="1:15">
      <c r="A66" s="182"/>
      <c r="B66" s="8" t="str">
        <f t="shared" si="0"/>
        <v>1603</v>
      </c>
      <c r="C66" s="11">
        <v>51</v>
      </c>
      <c r="D66" s="11">
        <v>52</v>
      </c>
      <c r="E66" s="9">
        <v>53</v>
      </c>
      <c r="F66" s="9">
        <v>54</v>
      </c>
      <c r="G66" s="107"/>
      <c r="H66" s="108"/>
      <c r="I66" s="108"/>
      <c r="J66" s="108"/>
      <c r="K66" s="109"/>
      <c r="L66" s="185"/>
      <c r="O66" s="6"/>
    </row>
    <row r="67" spans="1:15" ht="15.75" thickBot="1">
      <c r="A67" s="188"/>
      <c r="B67" s="38" t="str">
        <f t="shared" si="0"/>
        <v>1604</v>
      </c>
      <c r="C67" s="39">
        <v>55</v>
      </c>
      <c r="D67" s="44">
        <v>56</v>
      </c>
      <c r="E67" s="44">
        <v>57</v>
      </c>
      <c r="F67" s="44">
        <v>58</v>
      </c>
      <c r="G67" s="193"/>
      <c r="H67" s="194"/>
      <c r="I67" s="194"/>
      <c r="J67" s="194"/>
      <c r="K67" s="195"/>
      <c r="L67" s="186"/>
      <c r="O67" s="6"/>
    </row>
    <row r="68" spans="1:15">
      <c r="A68" s="181">
        <v>17</v>
      </c>
      <c r="B68" s="35" t="str">
        <f t="shared" si="0"/>
        <v>1701</v>
      </c>
      <c r="C68" s="37">
        <v>1</v>
      </c>
      <c r="D68" s="37">
        <v>2</v>
      </c>
      <c r="E68" s="37">
        <v>3</v>
      </c>
      <c r="F68" s="37">
        <v>4</v>
      </c>
      <c r="G68" s="37">
        <v>17</v>
      </c>
      <c r="H68" s="36">
        <v>18</v>
      </c>
      <c r="I68" s="37">
        <v>19</v>
      </c>
      <c r="J68" s="37">
        <v>20</v>
      </c>
      <c r="K68" s="37">
        <v>21</v>
      </c>
      <c r="L68" s="184" t="s">
        <v>30</v>
      </c>
      <c r="O68" s="6"/>
    </row>
    <row r="69" spans="1:15">
      <c r="A69" s="182"/>
      <c r="B69" s="8" t="str">
        <f t="shared" ref="B69:B103" si="1">INT((ROW()-4)/4)+1 &amp; TEXT(MOD(ROW()-4,4)+1,"00")</f>
        <v>1702</v>
      </c>
      <c r="C69" s="9">
        <v>5</v>
      </c>
      <c r="D69" s="9">
        <v>6</v>
      </c>
      <c r="E69" s="11">
        <v>7</v>
      </c>
      <c r="F69" s="9">
        <v>8</v>
      </c>
      <c r="G69" s="23"/>
      <c r="H69" s="24"/>
      <c r="I69" s="24"/>
      <c r="J69" s="24"/>
      <c r="K69" s="25"/>
      <c r="L69" s="185"/>
      <c r="O69" s="6"/>
    </row>
    <row r="70" spans="1:15">
      <c r="A70" s="182"/>
      <c r="B70" s="8" t="str">
        <f t="shared" si="1"/>
        <v>1703</v>
      </c>
      <c r="C70" s="11">
        <v>9</v>
      </c>
      <c r="D70" s="9">
        <v>10</v>
      </c>
      <c r="E70" s="9">
        <v>11</v>
      </c>
      <c r="F70" s="9">
        <v>12</v>
      </c>
      <c r="G70" s="26"/>
      <c r="H70" s="34"/>
      <c r="I70" s="34"/>
      <c r="J70" s="34"/>
      <c r="K70" s="27"/>
      <c r="L70" s="185"/>
      <c r="O70" s="6"/>
    </row>
    <row r="71" spans="1:15">
      <c r="A71" s="183"/>
      <c r="B71" s="8" t="str">
        <f t="shared" si="1"/>
        <v>1704</v>
      </c>
      <c r="C71" s="9">
        <v>13</v>
      </c>
      <c r="D71" s="9">
        <v>14</v>
      </c>
      <c r="E71" s="9">
        <v>15</v>
      </c>
      <c r="F71" s="9">
        <v>16</v>
      </c>
      <c r="G71" s="28"/>
      <c r="H71" s="29"/>
      <c r="I71" s="29"/>
      <c r="J71" s="29"/>
      <c r="K71" s="30"/>
      <c r="L71" s="185"/>
      <c r="O71" s="6"/>
    </row>
    <row r="72" spans="1:15">
      <c r="A72" s="187">
        <v>18</v>
      </c>
      <c r="B72" s="8" t="str">
        <f t="shared" si="1"/>
        <v>1801</v>
      </c>
      <c r="C72" s="9">
        <v>22</v>
      </c>
      <c r="D72" s="9">
        <v>23</v>
      </c>
      <c r="E72" s="9">
        <v>24</v>
      </c>
      <c r="F72" s="9">
        <v>25</v>
      </c>
      <c r="G72" s="10">
        <v>38</v>
      </c>
      <c r="H72" s="9">
        <v>39</v>
      </c>
      <c r="I72" s="9">
        <v>40</v>
      </c>
      <c r="J72" s="9">
        <v>41</v>
      </c>
      <c r="K72" s="9">
        <v>42</v>
      </c>
      <c r="L72" s="185"/>
      <c r="O72" s="6"/>
    </row>
    <row r="73" spans="1:15">
      <c r="A73" s="182"/>
      <c r="B73" s="8" t="str">
        <f t="shared" si="1"/>
        <v>1802</v>
      </c>
      <c r="C73" s="9">
        <v>26</v>
      </c>
      <c r="D73" s="9">
        <v>27</v>
      </c>
      <c r="E73" s="9">
        <v>28</v>
      </c>
      <c r="F73" s="9">
        <v>29</v>
      </c>
      <c r="G73" s="82"/>
      <c r="H73" s="83"/>
      <c r="I73" s="83"/>
      <c r="J73" s="83"/>
      <c r="K73" s="84"/>
      <c r="L73" s="185"/>
      <c r="O73" s="6"/>
    </row>
    <row r="74" spans="1:15">
      <c r="A74" s="182"/>
      <c r="B74" s="8" t="str">
        <f t="shared" si="1"/>
        <v>1803</v>
      </c>
      <c r="C74" s="9">
        <v>30</v>
      </c>
      <c r="D74" s="9">
        <v>31</v>
      </c>
      <c r="E74" s="9">
        <v>32</v>
      </c>
      <c r="F74" s="9">
        <v>33</v>
      </c>
      <c r="G74" s="107"/>
      <c r="H74" s="108"/>
      <c r="I74" s="108"/>
      <c r="J74" s="108"/>
      <c r="K74" s="109"/>
      <c r="L74" s="185"/>
      <c r="O74" s="6"/>
    </row>
    <row r="75" spans="1:15">
      <c r="A75" s="183"/>
      <c r="B75" s="8" t="str">
        <f t="shared" si="1"/>
        <v>1804</v>
      </c>
      <c r="C75" s="9">
        <v>34</v>
      </c>
      <c r="D75" s="11">
        <v>35</v>
      </c>
      <c r="E75" s="9">
        <v>36</v>
      </c>
      <c r="F75" s="9">
        <v>37</v>
      </c>
      <c r="G75" s="85"/>
      <c r="H75" s="86"/>
      <c r="I75" s="86"/>
      <c r="J75" s="86"/>
      <c r="K75" s="87"/>
      <c r="L75" s="185"/>
      <c r="O75" s="6"/>
    </row>
    <row r="76" spans="1:15">
      <c r="A76" s="187">
        <v>19</v>
      </c>
      <c r="B76" s="8" t="str">
        <f t="shared" si="1"/>
        <v>1901</v>
      </c>
      <c r="C76" s="9">
        <v>43</v>
      </c>
      <c r="D76" s="9">
        <v>44</v>
      </c>
      <c r="E76" s="11">
        <v>45</v>
      </c>
      <c r="F76" s="11">
        <v>46</v>
      </c>
      <c r="G76" s="9">
        <v>59</v>
      </c>
      <c r="H76" s="9">
        <v>60</v>
      </c>
      <c r="I76" s="9">
        <v>61</v>
      </c>
      <c r="J76" s="9">
        <v>62</v>
      </c>
      <c r="K76" s="9">
        <v>63</v>
      </c>
      <c r="L76" s="185"/>
      <c r="O76" s="6"/>
    </row>
    <row r="77" spans="1:15">
      <c r="A77" s="182"/>
      <c r="B77" s="8" t="str">
        <f t="shared" si="1"/>
        <v>1902</v>
      </c>
      <c r="C77" s="9">
        <v>47</v>
      </c>
      <c r="D77" s="11">
        <v>48</v>
      </c>
      <c r="E77" s="11">
        <v>49</v>
      </c>
      <c r="F77" s="11">
        <v>50</v>
      </c>
      <c r="G77" s="82"/>
      <c r="H77" s="83"/>
      <c r="I77" s="83"/>
      <c r="J77" s="83"/>
      <c r="K77" s="84"/>
      <c r="L77" s="185"/>
      <c r="O77" s="6"/>
    </row>
    <row r="78" spans="1:15">
      <c r="A78" s="182"/>
      <c r="B78" s="8" t="str">
        <f t="shared" si="1"/>
        <v>1903</v>
      </c>
      <c r="C78" s="9">
        <v>51</v>
      </c>
      <c r="D78" s="9">
        <v>52</v>
      </c>
      <c r="E78" s="9">
        <v>53</v>
      </c>
      <c r="F78" s="9">
        <v>54</v>
      </c>
      <c r="G78" s="107"/>
      <c r="H78" s="108"/>
      <c r="I78" s="108"/>
      <c r="J78" s="108"/>
      <c r="K78" s="109"/>
      <c r="L78" s="185"/>
      <c r="O78" s="6"/>
    </row>
    <row r="79" spans="1:15" ht="15.75" thickBot="1">
      <c r="A79" s="188"/>
      <c r="B79" s="38" t="str">
        <f t="shared" si="1"/>
        <v>1904</v>
      </c>
      <c r="C79" s="39">
        <v>55</v>
      </c>
      <c r="D79" s="44">
        <v>56</v>
      </c>
      <c r="E79" s="44">
        <v>57</v>
      </c>
      <c r="F79" s="39">
        <v>58</v>
      </c>
      <c r="G79" s="193"/>
      <c r="H79" s="194"/>
      <c r="I79" s="194"/>
      <c r="J79" s="194"/>
      <c r="K79" s="195"/>
      <c r="L79" s="186"/>
      <c r="O79" s="6"/>
    </row>
    <row r="80" spans="1:15">
      <c r="A80" s="181">
        <v>20</v>
      </c>
      <c r="B80" s="35" t="str">
        <f t="shared" si="1"/>
        <v>2001</v>
      </c>
      <c r="C80" s="37">
        <v>1</v>
      </c>
      <c r="D80" s="37">
        <v>2</v>
      </c>
      <c r="E80" s="37">
        <v>3</v>
      </c>
      <c r="F80" s="37">
        <v>4</v>
      </c>
      <c r="G80" s="37">
        <v>17</v>
      </c>
      <c r="H80" s="37">
        <v>18</v>
      </c>
      <c r="I80" s="37">
        <v>19</v>
      </c>
      <c r="J80" s="37">
        <v>20</v>
      </c>
      <c r="K80" s="37">
        <v>21</v>
      </c>
      <c r="L80" s="184" t="s">
        <v>21</v>
      </c>
      <c r="O80" s="6"/>
    </row>
    <row r="81" spans="1:19">
      <c r="A81" s="182"/>
      <c r="B81" s="8" t="str">
        <f t="shared" si="1"/>
        <v>2002</v>
      </c>
      <c r="C81" s="9">
        <v>5</v>
      </c>
      <c r="D81" s="11">
        <v>6</v>
      </c>
      <c r="E81" s="11">
        <v>7</v>
      </c>
      <c r="F81" s="11">
        <v>8</v>
      </c>
      <c r="G81" s="23"/>
      <c r="H81" s="24"/>
      <c r="I81" s="24"/>
      <c r="J81" s="24"/>
      <c r="K81" s="25"/>
      <c r="L81" s="185"/>
      <c r="O81" s="6"/>
    </row>
    <row r="82" spans="1:19">
      <c r="A82" s="182"/>
      <c r="B82" s="8" t="str">
        <f t="shared" si="1"/>
        <v>2003</v>
      </c>
      <c r="C82" s="9">
        <v>9</v>
      </c>
      <c r="D82" s="9">
        <v>10</v>
      </c>
      <c r="E82" s="9">
        <v>11</v>
      </c>
      <c r="F82" s="9">
        <v>12</v>
      </c>
      <c r="G82" s="26"/>
      <c r="H82" s="34"/>
      <c r="I82" s="34"/>
      <c r="J82" s="34"/>
      <c r="K82" s="27"/>
      <c r="L82" s="185"/>
      <c r="O82" s="6"/>
    </row>
    <row r="83" spans="1:19">
      <c r="A83" s="183"/>
      <c r="B83" s="8" t="str">
        <f t="shared" si="1"/>
        <v>2004</v>
      </c>
      <c r="C83" s="9">
        <v>13</v>
      </c>
      <c r="D83" s="9">
        <v>14</v>
      </c>
      <c r="E83" s="9">
        <v>15</v>
      </c>
      <c r="F83" s="9">
        <v>16</v>
      </c>
      <c r="G83" s="28"/>
      <c r="H83" s="29"/>
      <c r="I83" s="29"/>
      <c r="J83" s="29"/>
      <c r="K83" s="30"/>
      <c r="L83" s="185"/>
      <c r="O83" s="6"/>
    </row>
    <row r="84" spans="1:19">
      <c r="A84" s="187">
        <v>21</v>
      </c>
      <c r="B84" s="8" t="str">
        <f t="shared" si="1"/>
        <v>2101</v>
      </c>
      <c r="C84" s="9">
        <v>22</v>
      </c>
      <c r="D84" s="9">
        <v>23</v>
      </c>
      <c r="E84" s="9">
        <v>24</v>
      </c>
      <c r="F84" s="9">
        <v>25</v>
      </c>
      <c r="G84" s="9">
        <v>38</v>
      </c>
      <c r="H84" s="9">
        <v>39</v>
      </c>
      <c r="I84" s="9">
        <v>40</v>
      </c>
      <c r="J84" s="9">
        <v>41</v>
      </c>
      <c r="K84" s="9">
        <v>42</v>
      </c>
      <c r="L84" s="185"/>
      <c r="O84" s="6"/>
    </row>
    <row r="85" spans="1:19">
      <c r="A85" s="182"/>
      <c r="B85" s="8" t="str">
        <f t="shared" si="1"/>
        <v>2102</v>
      </c>
      <c r="C85" s="9">
        <v>26</v>
      </c>
      <c r="D85" s="10">
        <v>27</v>
      </c>
      <c r="E85" s="9">
        <v>28</v>
      </c>
      <c r="F85" s="9">
        <v>29</v>
      </c>
      <c r="G85" s="82"/>
      <c r="H85" s="83"/>
      <c r="I85" s="83"/>
      <c r="J85" s="83"/>
      <c r="K85" s="84"/>
      <c r="L85" s="185"/>
      <c r="O85" s="6"/>
    </row>
    <row r="86" spans="1:19">
      <c r="A86" s="182"/>
      <c r="B86" s="8" t="str">
        <f t="shared" si="1"/>
        <v>2103</v>
      </c>
      <c r="C86" s="11">
        <v>30</v>
      </c>
      <c r="D86" s="9">
        <v>31</v>
      </c>
      <c r="E86" s="9">
        <v>32</v>
      </c>
      <c r="F86" s="9">
        <v>33</v>
      </c>
      <c r="G86" s="107"/>
      <c r="H86" s="108"/>
      <c r="I86" s="108"/>
      <c r="J86" s="108"/>
      <c r="K86" s="109"/>
      <c r="L86" s="185"/>
    </row>
    <row r="87" spans="1:19">
      <c r="A87" s="183"/>
      <c r="B87" s="8" t="str">
        <f t="shared" si="1"/>
        <v>2104</v>
      </c>
      <c r="C87" s="9">
        <v>34</v>
      </c>
      <c r="D87" s="11">
        <v>35</v>
      </c>
      <c r="E87" s="10">
        <v>36</v>
      </c>
      <c r="F87" s="9">
        <v>37</v>
      </c>
      <c r="G87" s="85"/>
      <c r="H87" s="86"/>
      <c r="I87" s="86"/>
      <c r="J87" s="86"/>
      <c r="K87" s="87"/>
      <c r="L87" s="185"/>
    </row>
    <row r="88" spans="1:19">
      <c r="A88" s="187">
        <v>22</v>
      </c>
      <c r="B88" s="8" t="str">
        <f t="shared" si="1"/>
        <v>2201</v>
      </c>
      <c r="C88" s="9">
        <v>43</v>
      </c>
      <c r="D88" s="9">
        <v>44</v>
      </c>
      <c r="E88" s="9">
        <v>45</v>
      </c>
      <c r="F88" s="9">
        <v>46</v>
      </c>
      <c r="G88" s="9">
        <v>59</v>
      </c>
      <c r="H88" s="9">
        <v>60</v>
      </c>
      <c r="I88" s="9">
        <v>61</v>
      </c>
      <c r="J88" s="9">
        <v>62</v>
      </c>
      <c r="K88" s="9">
        <v>63</v>
      </c>
      <c r="L88" s="185"/>
      <c r="N88" s="6"/>
    </row>
    <row r="89" spans="1:19">
      <c r="A89" s="182"/>
      <c r="B89" s="8" t="str">
        <f t="shared" si="1"/>
        <v>2202</v>
      </c>
      <c r="C89" s="9">
        <v>47</v>
      </c>
      <c r="D89" s="9">
        <v>48</v>
      </c>
      <c r="E89" s="9">
        <v>49</v>
      </c>
      <c r="F89" s="9">
        <v>50</v>
      </c>
      <c r="G89" s="82"/>
      <c r="H89" s="83"/>
      <c r="I89" s="83"/>
      <c r="J89" s="83"/>
      <c r="K89" s="84"/>
      <c r="L89" s="185"/>
      <c r="N89" s="6"/>
    </row>
    <row r="90" spans="1:19">
      <c r="A90" s="182"/>
      <c r="B90" s="8" t="str">
        <f t="shared" si="1"/>
        <v>2203</v>
      </c>
      <c r="C90" s="11">
        <v>51</v>
      </c>
      <c r="D90" s="9">
        <v>52</v>
      </c>
      <c r="E90" s="9">
        <v>53</v>
      </c>
      <c r="F90" s="9">
        <v>54</v>
      </c>
      <c r="G90" s="107"/>
      <c r="H90" s="108"/>
      <c r="I90" s="108"/>
      <c r="J90" s="108"/>
      <c r="K90" s="109"/>
      <c r="L90" s="185"/>
      <c r="N90" s="6"/>
    </row>
    <row r="91" spans="1:19" ht="15.75" thickBot="1">
      <c r="A91" s="188"/>
      <c r="B91" s="38" t="str">
        <f t="shared" si="1"/>
        <v>2204</v>
      </c>
      <c r="C91" s="44">
        <v>55</v>
      </c>
      <c r="D91" s="39">
        <v>56</v>
      </c>
      <c r="E91" s="39">
        <v>57</v>
      </c>
      <c r="F91" s="39">
        <v>58</v>
      </c>
      <c r="G91" s="193"/>
      <c r="H91" s="194"/>
      <c r="I91" s="194"/>
      <c r="J91" s="194"/>
      <c r="K91" s="195"/>
      <c r="L91" s="186"/>
      <c r="N91" s="6"/>
    </row>
    <row r="92" spans="1:19">
      <c r="A92" s="181">
        <v>23</v>
      </c>
      <c r="B92" s="35" t="str">
        <f t="shared" si="1"/>
        <v>2301</v>
      </c>
      <c r="C92" s="37">
        <v>1</v>
      </c>
      <c r="D92" s="37">
        <v>2</v>
      </c>
      <c r="E92" s="36">
        <v>3</v>
      </c>
      <c r="F92" s="37">
        <v>4</v>
      </c>
      <c r="G92" s="37">
        <v>17</v>
      </c>
      <c r="H92" s="37">
        <v>18</v>
      </c>
      <c r="I92" s="37">
        <v>19</v>
      </c>
      <c r="J92" s="37">
        <v>20</v>
      </c>
      <c r="K92" s="45">
        <v>21</v>
      </c>
      <c r="L92" s="184" t="s">
        <v>22</v>
      </c>
      <c r="N92" s="6"/>
      <c r="S92" s="18"/>
    </row>
    <row r="93" spans="1:19">
      <c r="A93" s="182"/>
      <c r="B93" s="8" t="str">
        <f t="shared" si="1"/>
        <v>2302</v>
      </c>
      <c r="C93" s="9">
        <v>5</v>
      </c>
      <c r="D93" s="11">
        <v>6</v>
      </c>
      <c r="E93" s="9">
        <v>7</v>
      </c>
      <c r="F93" s="9">
        <v>8</v>
      </c>
      <c r="G93" s="82"/>
      <c r="H93" s="83"/>
      <c r="I93" s="83"/>
      <c r="J93" s="83"/>
      <c r="K93" s="83"/>
      <c r="L93" s="185"/>
      <c r="N93" s="6"/>
    </row>
    <row r="94" spans="1:19">
      <c r="A94" s="182"/>
      <c r="B94" s="8" t="str">
        <f t="shared" si="1"/>
        <v>2303</v>
      </c>
      <c r="C94" s="9">
        <v>9</v>
      </c>
      <c r="D94" s="9">
        <v>10</v>
      </c>
      <c r="E94" s="9">
        <v>11</v>
      </c>
      <c r="F94" s="9">
        <v>12</v>
      </c>
      <c r="G94" s="107"/>
      <c r="H94" s="108"/>
      <c r="I94" s="108"/>
      <c r="J94" s="108"/>
      <c r="K94" s="108"/>
      <c r="L94" s="185"/>
      <c r="N94" s="6"/>
    </row>
    <row r="95" spans="1:19">
      <c r="A95" s="183"/>
      <c r="B95" s="8" t="str">
        <f t="shared" si="1"/>
        <v>2304</v>
      </c>
      <c r="C95" s="9">
        <v>13</v>
      </c>
      <c r="D95" s="9">
        <v>14</v>
      </c>
      <c r="E95" s="9">
        <v>15</v>
      </c>
      <c r="F95" s="9">
        <v>16</v>
      </c>
      <c r="G95" s="85"/>
      <c r="H95" s="86"/>
      <c r="I95" s="86"/>
      <c r="J95" s="86"/>
      <c r="K95" s="86"/>
      <c r="L95" s="185"/>
      <c r="N95" s="6"/>
    </row>
    <row r="96" spans="1:19">
      <c r="A96" s="187">
        <v>24</v>
      </c>
      <c r="B96" s="8" t="str">
        <f t="shared" si="1"/>
        <v>2401</v>
      </c>
      <c r="C96" s="9">
        <v>22</v>
      </c>
      <c r="D96" s="9">
        <v>23</v>
      </c>
      <c r="E96" s="9">
        <v>24</v>
      </c>
      <c r="F96" s="9">
        <v>25</v>
      </c>
      <c r="G96" s="9">
        <v>38</v>
      </c>
      <c r="H96" s="9">
        <v>39</v>
      </c>
      <c r="I96" s="9">
        <v>40</v>
      </c>
      <c r="J96" s="9">
        <v>41</v>
      </c>
      <c r="K96" s="20">
        <v>42</v>
      </c>
      <c r="L96" s="185"/>
      <c r="N96" s="6"/>
    </row>
    <row r="97" spans="1:15">
      <c r="A97" s="182"/>
      <c r="B97" s="8" t="str">
        <f t="shared" si="1"/>
        <v>2402</v>
      </c>
      <c r="C97" s="9">
        <v>26</v>
      </c>
      <c r="D97" s="9">
        <v>27</v>
      </c>
      <c r="E97" s="9">
        <v>28</v>
      </c>
      <c r="F97" s="9">
        <v>29</v>
      </c>
      <c r="G97" s="82"/>
      <c r="H97" s="83"/>
      <c r="I97" s="83"/>
      <c r="J97" s="83"/>
      <c r="K97" s="83"/>
      <c r="L97" s="185"/>
      <c r="N97" s="6"/>
    </row>
    <row r="98" spans="1:15">
      <c r="A98" s="182"/>
      <c r="B98" s="8" t="str">
        <f t="shared" si="1"/>
        <v>2403</v>
      </c>
      <c r="C98" s="9">
        <v>30</v>
      </c>
      <c r="D98" s="9">
        <v>31</v>
      </c>
      <c r="E98" s="9">
        <v>32</v>
      </c>
      <c r="F98" s="10">
        <v>33</v>
      </c>
      <c r="G98" s="107"/>
      <c r="H98" s="108"/>
      <c r="I98" s="108"/>
      <c r="J98" s="108"/>
      <c r="K98" s="108"/>
      <c r="L98" s="185"/>
      <c r="N98" s="6"/>
      <c r="O98" s="6"/>
    </row>
    <row r="99" spans="1:15">
      <c r="A99" s="183"/>
      <c r="B99" s="8" t="str">
        <f t="shared" si="1"/>
        <v>2404</v>
      </c>
      <c r="C99" s="9">
        <v>34</v>
      </c>
      <c r="D99" s="9">
        <v>35</v>
      </c>
      <c r="E99" s="9">
        <v>36</v>
      </c>
      <c r="F99" s="9">
        <v>37</v>
      </c>
      <c r="G99" s="85"/>
      <c r="H99" s="86"/>
      <c r="I99" s="86"/>
      <c r="J99" s="86"/>
      <c r="K99" s="86"/>
      <c r="L99" s="185"/>
      <c r="N99" s="6"/>
      <c r="O99" s="6"/>
    </row>
    <row r="100" spans="1:15">
      <c r="A100" s="187">
        <v>25</v>
      </c>
      <c r="B100" s="8" t="str">
        <f t="shared" si="1"/>
        <v>2501</v>
      </c>
      <c r="C100" s="9">
        <v>43</v>
      </c>
      <c r="D100" s="9">
        <v>44</v>
      </c>
      <c r="E100" s="9">
        <v>45</v>
      </c>
      <c r="F100" s="9">
        <v>46</v>
      </c>
      <c r="G100" s="9">
        <v>59</v>
      </c>
      <c r="H100" s="9">
        <v>60</v>
      </c>
      <c r="I100" s="9">
        <v>61</v>
      </c>
      <c r="J100" s="9">
        <v>62</v>
      </c>
      <c r="K100" s="20">
        <v>63</v>
      </c>
      <c r="L100" s="185"/>
      <c r="O100" s="6"/>
    </row>
    <row r="101" spans="1:15">
      <c r="A101" s="182"/>
      <c r="B101" s="8" t="str">
        <f t="shared" si="1"/>
        <v>2502</v>
      </c>
      <c r="C101" s="9">
        <v>47</v>
      </c>
      <c r="D101" s="9">
        <v>48</v>
      </c>
      <c r="E101" s="9">
        <v>49</v>
      </c>
      <c r="F101" s="9">
        <v>50</v>
      </c>
      <c r="G101" s="82"/>
      <c r="H101" s="83"/>
      <c r="I101" s="83"/>
      <c r="J101" s="83"/>
      <c r="K101" s="83"/>
      <c r="L101" s="185"/>
      <c r="O101" s="6"/>
    </row>
    <row r="102" spans="1:15">
      <c r="A102" s="182"/>
      <c r="B102" s="8" t="str">
        <f t="shared" si="1"/>
        <v>2503</v>
      </c>
      <c r="C102" s="9">
        <v>51</v>
      </c>
      <c r="D102" s="9">
        <v>52</v>
      </c>
      <c r="E102" s="9">
        <v>53</v>
      </c>
      <c r="F102" s="9">
        <v>54</v>
      </c>
      <c r="G102" s="107"/>
      <c r="H102" s="108"/>
      <c r="I102" s="108"/>
      <c r="J102" s="108"/>
      <c r="K102" s="108"/>
      <c r="L102" s="185"/>
      <c r="O102" s="6"/>
    </row>
    <row r="103" spans="1:15">
      <c r="A103" s="183"/>
      <c r="B103" s="8" t="str">
        <f t="shared" si="1"/>
        <v>2504</v>
      </c>
      <c r="C103" s="9">
        <v>55</v>
      </c>
      <c r="D103" s="9">
        <v>56</v>
      </c>
      <c r="E103" s="9">
        <v>57</v>
      </c>
      <c r="F103" s="9">
        <v>58</v>
      </c>
      <c r="G103" s="85"/>
      <c r="H103" s="86"/>
      <c r="I103" s="86"/>
      <c r="J103" s="86"/>
      <c r="K103" s="86"/>
      <c r="L103" s="185"/>
      <c r="O103" s="6"/>
    </row>
    <row r="104" spans="1:15">
      <c r="A104" s="187">
        <v>26</v>
      </c>
      <c r="B104" s="98" t="s">
        <v>25</v>
      </c>
      <c r="C104" s="9">
        <v>86</v>
      </c>
      <c r="D104" s="9">
        <v>87</v>
      </c>
      <c r="E104" s="11">
        <v>88</v>
      </c>
      <c r="F104" s="9">
        <v>89</v>
      </c>
      <c r="G104" s="19"/>
      <c r="H104" s="7"/>
      <c r="I104" s="9">
        <v>90</v>
      </c>
      <c r="J104" s="9">
        <v>91</v>
      </c>
      <c r="K104" s="9">
        <v>92</v>
      </c>
      <c r="L104" s="185"/>
      <c r="O104" s="6"/>
    </row>
    <row r="105" spans="1:15">
      <c r="A105" s="182"/>
      <c r="B105" s="106"/>
      <c r="C105" s="7"/>
      <c r="D105" s="7"/>
      <c r="E105" s="7"/>
      <c r="F105" s="7"/>
      <c r="G105" s="110"/>
      <c r="H105" s="111"/>
      <c r="I105" s="111"/>
      <c r="J105" s="112"/>
      <c r="K105" s="9">
        <v>93</v>
      </c>
      <c r="L105" s="185"/>
      <c r="O105" s="6"/>
    </row>
    <row r="106" spans="1:15" ht="15.75" thickBot="1">
      <c r="A106" s="188"/>
      <c r="B106" s="189"/>
      <c r="C106" s="46"/>
      <c r="D106" s="46"/>
      <c r="E106" s="46"/>
      <c r="F106" s="46"/>
      <c r="G106" s="190"/>
      <c r="H106" s="191"/>
      <c r="I106" s="191"/>
      <c r="J106" s="192"/>
      <c r="K106" s="39">
        <v>94</v>
      </c>
      <c r="L106" s="186"/>
      <c r="O106" s="6"/>
    </row>
    <row r="107" spans="1:15">
      <c r="O107" s="6"/>
    </row>
    <row r="108" spans="1:15">
      <c r="O108" s="6"/>
    </row>
    <row r="109" spans="1:15">
      <c r="O109" s="6"/>
    </row>
  </sheetData>
  <mergeCells count="73"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  <mergeCell ref="O3:P3"/>
    <mergeCell ref="A4:A7"/>
    <mergeCell ref="N4:N7"/>
    <mergeCell ref="S4:S7"/>
    <mergeCell ref="G5:K7"/>
    <mergeCell ref="L4:L19"/>
    <mergeCell ref="A8:A11"/>
    <mergeCell ref="G9:K11"/>
    <mergeCell ref="S9:S12"/>
    <mergeCell ref="A12:A15"/>
    <mergeCell ref="G13:K15"/>
    <mergeCell ref="S14:S17"/>
    <mergeCell ref="A16:A19"/>
    <mergeCell ref="G17:K19"/>
    <mergeCell ref="S19:S22"/>
    <mergeCell ref="A20:A23"/>
    <mergeCell ref="G37:K39"/>
    <mergeCell ref="A24:A27"/>
    <mergeCell ref="S24:S27"/>
    <mergeCell ref="L32:L43"/>
    <mergeCell ref="S39:S42"/>
    <mergeCell ref="A40:A43"/>
    <mergeCell ref="G41:K43"/>
    <mergeCell ref="L20:L31"/>
    <mergeCell ref="A28:A31"/>
    <mergeCell ref="S29:S32"/>
    <mergeCell ref="A32:A35"/>
    <mergeCell ref="S34:S37"/>
    <mergeCell ref="A36:A39"/>
    <mergeCell ref="A44:A47"/>
    <mergeCell ref="A48:A51"/>
    <mergeCell ref="G49:K51"/>
    <mergeCell ref="L44:L55"/>
    <mergeCell ref="A52:A55"/>
    <mergeCell ref="G53:K55"/>
    <mergeCell ref="A56:A59"/>
    <mergeCell ref="A60:A63"/>
    <mergeCell ref="G61:K63"/>
    <mergeCell ref="L56:L67"/>
    <mergeCell ref="G65:K67"/>
    <mergeCell ref="A64:A67"/>
    <mergeCell ref="A68:A71"/>
    <mergeCell ref="A72:A75"/>
    <mergeCell ref="G73:K75"/>
    <mergeCell ref="L68:L79"/>
    <mergeCell ref="A84:A87"/>
    <mergeCell ref="G85:K87"/>
    <mergeCell ref="A80:A83"/>
    <mergeCell ref="L80:L91"/>
    <mergeCell ref="A88:A91"/>
    <mergeCell ref="G89:K91"/>
    <mergeCell ref="A76:A79"/>
    <mergeCell ref="G77:K79"/>
    <mergeCell ref="A92:A95"/>
    <mergeCell ref="L92:L106"/>
    <mergeCell ref="G93:K95"/>
    <mergeCell ref="A96:A99"/>
    <mergeCell ref="G97:K99"/>
    <mergeCell ref="A100:A103"/>
    <mergeCell ref="G101:K103"/>
    <mergeCell ref="A104:A106"/>
    <mergeCell ref="B104:B106"/>
    <mergeCell ref="G105:J106"/>
  </mergeCells>
  <conditionalFormatting sqref="F10">
    <cfRule type="cellIs" dxfId="73" priority="36" operator="equal">
      <formula>"Ногоон"</formula>
    </cfRule>
    <cfRule type="cellIs" dxfId="72" priority="37" operator="equal">
      <formula>"Улаан"</formula>
    </cfRule>
  </conditionalFormatting>
  <conditionalFormatting sqref="C4:K4 C8:K8 C5:G5 C6:F7 C12:K12 C9:G9 C10:F11 C100:K100 C13:G13 C14:F15 C16:K16 C17:G17 C18:F19 C92:K92 C96:K96 C93:G93 C94:F95 C97:G97 C98:F99 C101:G101 C102:F104 G104 I104:K104 K105:K106 C20:K20 C24:K24 C21:G21 C22:F23 C28:K28 C25:G25 C26:F27 C29:G29 C30:F31 C32:K32 C36:K36 C33:G33 C34:F35 C40:K40 C37:G37 C38:F39 C41:G41 C42:F43 C44:K44 C48:K48 C45:G45 C46:F47 C52:K52 C49:G49 C50:F51 C53:G53 C54:F55 C56:K56 C60:K60 C64:K64 C61:G61 C62:F63 C65:G65 C66:F67 C68:K68 C72:K72 C69:G69 C70:F71 C76:K76 C73:G73 C74:F75 C77:G77 C78:F79 C80:K80 C84:K84 C81:G81 C82:F83 C88:K88 C85:G85 C86:F87 C89:G89 C90:F91 C57:F59 G58">
    <cfRule type="cellIs" dxfId="71" priority="35" operator="equal">
      <formula>"Улаан"</formula>
    </cfRule>
  </conditionalFormatting>
  <conditionalFormatting sqref="F22">
    <cfRule type="cellIs" dxfId="70" priority="33" operator="equal">
      <formula>"Ногоон"</formula>
    </cfRule>
    <cfRule type="cellIs" dxfId="69" priority="34" operator="equal">
      <formula>"Улаан"</formula>
    </cfRule>
  </conditionalFormatting>
  <conditionalFormatting sqref="F34">
    <cfRule type="cellIs" dxfId="68" priority="31" operator="equal">
      <formula>"Ногоон"</formula>
    </cfRule>
    <cfRule type="cellIs" dxfId="67" priority="32" operator="equal">
      <formula>"Улаан"</formula>
    </cfRule>
  </conditionalFormatting>
  <conditionalFormatting sqref="F94">
    <cfRule type="cellIs" dxfId="66" priority="21" operator="equal">
      <formula>"Ногоон"</formula>
    </cfRule>
    <cfRule type="cellIs" dxfId="65" priority="22" operator="equal">
      <formula>"Улаан"</formula>
    </cfRule>
  </conditionalFormatting>
  <conditionalFormatting sqref="F26">
    <cfRule type="cellIs" dxfId="64" priority="19" operator="equal">
      <formula>"Ногоон"</formula>
    </cfRule>
    <cfRule type="cellIs" dxfId="63" priority="20" operator="equal">
      <formula>"Улаан"</formula>
    </cfRule>
  </conditionalFormatting>
  <conditionalFormatting sqref="F38">
    <cfRule type="cellIs" dxfId="62" priority="17" operator="equal">
      <formula>"Ногоон"</formula>
    </cfRule>
    <cfRule type="cellIs" dxfId="61" priority="18" operator="equal">
      <formula>"Улаан"</formula>
    </cfRule>
  </conditionalFormatting>
  <conditionalFormatting sqref="F46">
    <cfRule type="cellIs" dxfId="60" priority="15" operator="equal">
      <formula>"Ногоон"</formula>
    </cfRule>
    <cfRule type="cellIs" dxfId="59" priority="16" operator="equal">
      <formula>"Улаан"</formula>
    </cfRule>
  </conditionalFormatting>
  <conditionalFormatting sqref="F50">
    <cfRule type="cellIs" dxfId="58" priority="13" operator="equal">
      <formula>"Ногоон"</formula>
    </cfRule>
    <cfRule type="cellIs" dxfId="57" priority="14" operator="equal">
      <formula>"Улаан"</formula>
    </cfRule>
  </conditionalFormatting>
  <conditionalFormatting sqref="F58">
    <cfRule type="cellIs" dxfId="56" priority="11" operator="equal">
      <formula>"Ногоон"</formula>
    </cfRule>
    <cfRule type="cellIs" dxfId="55" priority="12" operator="equal">
      <formula>"Улаан"</formula>
    </cfRule>
  </conditionalFormatting>
  <conditionalFormatting sqref="F62">
    <cfRule type="cellIs" dxfId="54" priority="9" operator="equal">
      <formula>"Ногоон"</formula>
    </cfRule>
    <cfRule type="cellIs" dxfId="53" priority="10" operator="equal">
      <formula>"Улаан"</formula>
    </cfRule>
  </conditionalFormatting>
  <conditionalFormatting sqref="F70">
    <cfRule type="cellIs" dxfId="52" priority="7" operator="equal">
      <formula>"Ногоон"</formula>
    </cfRule>
    <cfRule type="cellIs" dxfId="51" priority="8" operator="equal">
      <formula>"Улаан"</formula>
    </cfRule>
  </conditionalFormatting>
  <conditionalFormatting sqref="F74">
    <cfRule type="cellIs" dxfId="50" priority="5" operator="equal">
      <formula>"Ногоон"</formula>
    </cfRule>
    <cfRule type="cellIs" dxfId="49" priority="6" operator="equal">
      <formula>"Улаан"</formula>
    </cfRule>
  </conditionalFormatting>
  <conditionalFormatting sqref="F82">
    <cfRule type="cellIs" dxfId="48" priority="3" operator="equal">
      <formula>"Ногоон"</formula>
    </cfRule>
    <cfRule type="cellIs" dxfId="47" priority="4" operator="equal">
      <formula>"Улаан"</formula>
    </cfRule>
  </conditionalFormatting>
  <conditionalFormatting sqref="F86">
    <cfRule type="cellIs" dxfId="46" priority="1" operator="equal">
      <formula>"Ногоон"</formula>
    </cfRule>
    <cfRule type="cellIs" dxfId="45" priority="2" operator="equal">
      <formula>"Улаан"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02353-E38E-48BB-8BDB-F1D08C42F075}">
  <dimension ref="A1:V156"/>
  <sheetViews>
    <sheetView topLeftCell="B89" zoomScale="61" workbookViewId="0">
      <selection activeCell="H106" sqref="H106"/>
    </sheetView>
  </sheetViews>
  <sheetFormatPr defaultRowHeight="15"/>
  <cols>
    <col min="14" max="14" width="11.140625" customWidth="1"/>
    <col min="20" max="20" width="14.5703125" bestFit="1" customWidth="1"/>
    <col min="22" max="22" width="10" bestFit="1" customWidth="1"/>
  </cols>
  <sheetData>
    <row r="1" spans="1:22">
      <c r="A1" s="77">
        <v>222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</row>
    <row r="2" spans="1:22">
      <c r="A2" s="80" t="s">
        <v>1</v>
      </c>
      <c r="B2" s="81" t="s">
        <v>2</v>
      </c>
      <c r="C2" s="82" t="s">
        <v>3</v>
      </c>
      <c r="D2" s="83"/>
      <c r="E2" s="84"/>
      <c r="F2" s="88" t="s">
        <v>4</v>
      </c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</row>
    <row r="3" spans="1:22">
      <c r="A3" s="80"/>
      <c r="B3" s="81"/>
      <c r="C3" s="85"/>
      <c r="D3" s="86"/>
      <c r="E3" s="87"/>
      <c r="F3" s="88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</row>
    <row r="4" spans="1:22">
      <c r="A4" s="80">
        <v>1</v>
      </c>
      <c r="B4" s="8">
        <f>(INT((ROW()-4)/6)+1)*100 + MOD(ROW()-4,6)+1</f>
        <v>101</v>
      </c>
      <c r="C4" s="9">
        <v>2</v>
      </c>
      <c r="D4" s="9">
        <v>3</v>
      </c>
      <c r="E4" s="9">
        <v>4</v>
      </c>
      <c r="F4" s="9">
        <v>1</v>
      </c>
      <c r="G4" s="9">
        <v>20</v>
      </c>
      <c r="H4" s="76">
        <v>21</v>
      </c>
      <c r="I4" s="9">
        <v>22</v>
      </c>
      <c r="J4" s="9">
        <v>23</v>
      </c>
      <c r="K4" s="9">
        <v>24</v>
      </c>
      <c r="L4" s="100" t="s">
        <v>9</v>
      </c>
      <c r="N4" s="92">
        <v>46000</v>
      </c>
      <c r="O4" s="12" t="s">
        <v>10</v>
      </c>
      <c r="P4" s="13">
        <f>SUM(P5:P7)</f>
        <v>609</v>
      </c>
      <c r="Q4" s="73">
        <v>1</v>
      </c>
      <c r="S4" s="92" t="s">
        <v>9</v>
      </c>
      <c r="T4" s="12" t="s">
        <v>10</v>
      </c>
      <c r="U4" s="13">
        <f>SUM(U5:U7)</f>
        <v>96</v>
      </c>
      <c r="V4" s="72">
        <v>1</v>
      </c>
    </row>
    <row r="5" spans="1:22">
      <c r="A5" s="80"/>
      <c r="B5" s="8">
        <f t="shared" ref="B5:B68" si="0">(INT((ROW()-4)/6)+1)*100 + MOD(ROW()-4,6)+1</f>
        <v>102</v>
      </c>
      <c r="C5" s="9">
        <v>5</v>
      </c>
      <c r="D5" s="9">
        <v>6</v>
      </c>
      <c r="E5" s="9">
        <v>7</v>
      </c>
      <c r="F5" s="81"/>
      <c r="G5" s="81"/>
      <c r="H5" s="81"/>
      <c r="I5" s="81"/>
      <c r="J5" s="81"/>
      <c r="K5" s="81"/>
      <c r="L5" s="101"/>
      <c r="N5" s="93"/>
      <c r="O5" s="14" t="s">
        <v>11</v>
      </c>
      <c r="P5" s="13" cm="1">
        <f t="array" ref="P5">CountByColor(C4:K156, O5)</f>
        <v>81</v>
      </c>
      <c r="Q5" s="74">
        <v>0.13300000000000001</v>
      </c>
      <c r="S5" s="93"/>
      <c r="T5" s="14" t="s">
        <v>11</v>
      </c>
      <c r="U5" s="13" cm="1">
        <f t="array" ref="U5">CountByColor(C4:K27, T5)</f>
        <v>17</v>
      </c>
      <c r="V5" s="71">
        <v>0.17710000000000001</v>
      </c>
    </row>
    <row r="6" spans="1:22">
      <c r="A6" s="80"/>
      <c r="B6" s="8">
        <f t="shared" si="0"/>
        <v>103</v>
      </c>
      <c r="C6" s="9">
        <v>8</v>
      </c>
      <c r="D6" s="9">
        <v>9</v>
      </c>
      <c r="E6" s="9">
        <v>10</v>
      </c>
      <c r="F6" s="81"/>
      <c r="G6" s="81"/>
      <c r="H6" s="81"/>
      <c r="I6" s="81"/>
      <c r="J6" s="81"/>
      <c r="K6" s="81"/>
      <c r="L6" s="101"/>
      <c r="N6" s="93"/>
      <c r="O6" s="15" t="s">
        <v>12</v>
      </c>
      <c r="P6" s="13" cm="1">
        <f t="array" ref="P6">CountByColor(C4:K156, O6)</f>
        <v>18</v>
      </c>
      <c r="Q6" s="74">
        <v>2.9600000000000001E-2</v>
      </c>
      <c r="S6" s="93"/>
      <c r="T6" s="15" t="s">
        <v>12</v>
      </c>
      <c r="U6" s="13" cm="1">
        <f t="array" ref="U6">CountByColor(C4:K27, T6)</f>
        <v>2</v>
      </c>
      <c r="V6" s="71">
        <v>2.0799999999999999E-2</v>
      </c>
    </row>
    <row r="7" spans="1:22">
      <c r="A7" s="80"/>
      <c r="B7" s="8">
        <f t="shared" si="0"/>
        <v>104</v>
      </c>
      <c r="C7" s="9">
        <v>11</v>
      </c>
      <c r="D7" s="9">
        <v>12</v>
      </c>
      <c r="E7" s="9">
        <v>13</v>
      </c>
      <c r="F7" s="81"/>
      <c r="G7" s="81"/>
      <c r="H7" s="81"/>
      <c r="I7" s="81"/>
      <c r="J7" s="81"/>
      <c r="K7" s="81"/>
      <c r="L7" s="101"/>
      <c r="N7" s="94"/>
      <c r="O7" s="16" t="s">
        <v>13</v>
      </c>
      <c r="P7" s="13" cm="1">
        <f t="array" ref="P7">CountByColor(C4:K156, O7)</f>
        <v>510</v>
      </c>
      <c r="Q7" s="74">
        <v>0.83740000000000003</v>
      </c>
      <c r="S7" s="94"/>
      <c r="T7" s="16" t="s">
        <v>13</v>
      </c>
      <c r="U7" s="13" cm="1">
        <f t="array" ref="U7">CountByColor(C4:K27, T7)</f>
        <v>77</v>
      </c>
      <c r="V7" s="71">
        <v>0.80210000000000004</v>
      </c>
    </row>
    <row r="8" spans="1:22">
      <c r="A8" s="80"/>
      <c r="B8" s="8">
        <f t="shared" si="0"/>
        <v>105</v>
      </c>
      <c r="C8" s="9">
        <v>14</v>
      </c>
      <c r="D8" s="11">
        <v>15</v>
      </c>
      <c r="E8" s="9">
        <v>16</v>
      </c>
      <c r="F8" s="81"/>
      <c r="G8" s="81"/>
      <c r="H8" s="81"/>
      <c r="I8" s="81"/>
      <c r="J8" s="81"/>
      <c r="K8" s="81"/>
      <c r="L8" s="101"/>
      <c r="N8" s="21"/>
      <c r="T8" s="1"/>
      <c r="U8" s="1"/>
    </row>
    <row r="9" spans="1:22">
      <c r="A9" s="80"/>
      <c r="B9" s="8">
        <f t="shared" si="0"/>
        <v>106</v>
      </c>
      <c r="C9" s="9">
        <v>17</v>
      </c>
      <c r="D9" s="9">
        <v>18</v>
      </c>
      <c r="E9" s="9">
        <v>19</v>
      </c>
      <c r="F9" s="81"/>
      <c r="G9" s="81"/>
      <c r="H9" s="81"/>
      <c r="I9" s="81"/>
      <c r="J9" s="81"/>
      <c r="K9" s="81"/>
      <c r="L9" s="101"/>
      <c r="S9" s="92" t="s">
        <v>14</v>
      </c>
      <c r="T9" s="12" t="s">
        <v>10</v>
      </c>
      <c r="U9" s="13">
        <f>SUM(U10:U12)</f>
        <v>72</v>
      </c>
      <c r="V9" s="72">
        <v>1</v>
      </c>
    </row>
    <row r="10" spans="1:22">
      <c r="A10" s="80">
        <v>2</v>
      </c>
      <c r="B10" s="8">
        <f t="shared" si="0"/>
        <v>201</v>
      </c>
      <c r="C10" s="9">
        <v>26</v>
      </c>
      <c r="D10" s="9">
        <v>27</v>
      </c>
      <c r="E10" s="9">
        <v>28</v>
      </c>
      <c r="F10" s="9">
        <v>25</v>
      </c>
      <c r="G10" s="9">
        <v>44</v>
      </c>
      <c r="H10" s="9">
        <v>45</v>
      </c>
      <c r="I10" s="9">
        <v>46</v>
      </c>
      <c r="J10" s="9">
        <v>47</v>
      </c>
      <c r="K10" s="9">
        <v>48</v>
      </c>
      <c r="L10" s="101"/>
      <c r="S10" s="93"/>
      <c r="T10" s="14" t="s">
        <v>11</v>
      </c>
      <c r="U10" s="13" cm="1">
        <f t="array" ref="U10">CountByColor(C28:K45, T10)</f>
        <v>8</v>
      </c>
      <c r="V10" s="71">
        <v>0.1111</v>
      </c>
    </row>
    <row r="11" spans="1:22">
      <c r="A11" s="80"/>
      <c r="B11" s="8">
        <f t="shared" si="0"/>
        <v>202</v>
      </c>
      <c r="C11" s="9">
        <v>29</v>
      </c>
      <c r="D11" s="11">
        <v>30</v>
      </c>
      <c r="E11" s="9">
        <v>31</v>
      </c>
      <c r="F11" s="81"/>
      <c r="G11" s="81"/>
      <c r="H11" s="81"/>
      <c r="I11" s="81"/>
      <c r="J11" s="81"/>
      <c r="K11" s="81"/>
      <c r="L11" s="101"/>
      <c r="S11" s="93"/>
      <c r="T11" s="15" t="s">
        <v>12</v>
      </c>
      <c r="U11" s="13" cm="1">
        <f t="array" ref="U11">CountByColor(C28:K45, T11)</f>
        <v>2</v>
      </c>
      <c r="V11" s="71">
        <v>2.7799999999999998E-2</v>
      </c>
    </row>
    <row r="12" spans="1:22">
      <c r="A12" s="80"/>
      <c r="B12" s="8">
        <f t="shared" si="0"/>
        <v>203</v>
      </c>
      <c r="C12" s="9">
        <v>32</v>
      </c>
      <c r="D12" s="9">
        <v>33</v>
      </c>
      <c r="E12" s="9">
        <v>34</v>
      </c>
      <c r="F12" s="81"/>
      <c r="G12" s="81"/>
      <c r="H12" s="81"/>
      <c r="I12" s="81"/>
      <c r="J12" s="81"/>
      <c r="K12" s="81"/>
      <c r="L12" s="101"/>
      <c r="S12" s="94"/>
      <c r="T12" s="16" t="s">
        <v>13</v>
      </c>
      <c r="U12" s="13" cm="1">
        <f t="array" ref="U12">CountByColor(C28:K45, T12)</f>
        <v>62</v>
      </c>
      <c r="V12" s="71">
        <v>0.86109999999999998</v>
      </c>
    </row>
    <row r="13" spans="1:22">
      <c r="A13" s="80"/>
      <c r="B13" s="8">
        <f t="shared" si="0"/>
        <v>204</v>
      </c>
      <c r="C13" s="9">
        <v>35</v>
      </c>
      <c r="D13" s="9">
        <v>36</v>
      </c>
      <c r="E13" s="9">
        <v>37</v>
      </c>
      <c r="F13" s="81"/>
      <c r="G13" s="81"/>
      <c r="H13" s="81"/>
      <c r="I13" s="81"/>
      <c r="J13" s="81"/>
      <c r="K13" s="81"/>
      <c r="L13" s="101"/>
      <c r="N13" s="33"/>
      <c r="S13" s="1"/>
    </row>
    <row r="14" spans="1:22">
      <c r="A14" s="80"/>
      <c r="B14" s="8">
        <f t="shared" si="0"/>
        <v>205</v>
      </c>
      <c r="C14" s="9">
        <v>38</v>
      </c>
      <c r="D14" s="9">
        <v>39</v>
      </c>
      <c r="E14" s="11">
        <v>40</v>
      </c>
      <c r="F14" s="81"/>
      <c r="G14" s="81"/>
      <c r="H14" s="81"/>
      <c r="I14" s="81"/>
      <c r="J14" s="81"/>
      <c r="K14" s="81"/>
      <c r="L14" s="101"/>
      <c r="S14" s="92" t="s">
        <v>15</v>
      </c>
      <c r="T14" s="12" t="s">
        <v>10</v>
      </c>
      <c r="U14" s="13">
        <f>SUM(U15:U17)</f>
        <v>72</v>
      </c>
      <c r="V14" s="72">
        <v>1</v>
      </c>
    </row>
    <row r="15" spans="1:22">
      <c r="A15" s="80"/>
      <c r="B15" s="8">
        <f t="shared" si="0"/>
        <v>206</v>
      </c>
      <c r="C15" s="9">
        <v>41</v>
      </c>
      <c r="D15" s="9">
        <v>42</v>
      </c>
      <c r="E15" s="11">
        <v>43</v>
      </c>
      <c r="F15" s="81"/>
      <c r="G15" s="81"/>
      <c r="H15" s="81"/>
      <c r="I15" s="81"/>
      <c r="J15" s="81"/>
      <c r="K15" s="81"/>
      <c r="L15" s="101"/>
      <c r="S15" s="93"/>
      <c r="T15" s="14" t="s">
        <v>11</v>
      </c>
      <c r="U15" s="13" cm="1">
        <f t="array" ref="U15">CountByColor(C46:K63, T15)</f>
        <v>6</v>
      </c>
      <c r="V15" s="71">
        <v>8.3299999999999999E-2</v>
      </c>
    </row>
    <row r="16" spans="1:22">
      <c r="A16" s="80">
        <v>3</v>
      </c>
      <c r="B16" s="8">
        <f t="shared" si="0"/>
        <v>301</v>
      </c>
      <c r="C16" s="9">
        <v>50</v>
      </c>
      <c r="D16" s="9">
        <v>51</v>
      </c>
      <c r="E16" s="11">
        <v>52</v>
      </c>
      <c r="F16" s="9">
        <v>49</v>
      </c>
      <c r="G16" s="9">
        <v>68</v>
      </c>
      <c r="H16" s="9">
        <v>69</v>
      </c>
      <c r="I16" s="9">
        <v>70</v>
      </c>
      <c r="J16" s="9">
        <v>71</v>
      </c>
      <c r="K16" s="9">
        <v>72</v>
      </c>
      <c r="L16" s="101"/>
      <c r="S16" s="93"/>
      <c r="T16" s="15" t="s">
        <v>12</v>
      </c>
      <c r="U16" s="13" cm="1">
        <f t="array" ref="U16">CountByColor(C46:K63, T16)</f>
        <v>3</v>
      </c>
      <c r="V16" s="71">
        <v>4.1700000000000001E-2</v>
      </c>
    </row>
    <row r="17" spans="1:22">
      <c r="A17" s="80"/>
      <c r="B17" s="8">
        <f t="shared" si="0"/>
        <v>302</v>
      </c>
      <c r="C17" s="10">
        <v>53</v>
      </c>
      <c r="D17" s="11">
        <v>54</v>
      </c>
      <c r="E17" s="9">
        <v>55</v>
      </c>
      <c r="F17" s="168"/>
      <c r="G17" s="168"/>
      <c r="H17" s="168"/>
      <c r="I17" s="168"/>
      <c r="J17" s="168"/>
      <c r="K17" s="168"/>
      <c r="L17" s="101"/>
      <c r="S17" s="94"/>
      <c r="T17" s="16" t="s">
        <v>13</v>
      </c>
      <c r="U17" s="13" cm="1">
        <f t="array" ref="U17">CountByColor(C46:K63, T17)</f>
        <v>63</v>
      </c>
      <c r="V17" s="71">
        <v>0.875</v>
      </c>
    </row>
    <row r="18" spans="1:22">
      <c r="A18" s="80"/>
      <c r="B18" s="8">
        <f t="shared" si="0"/>
        <v>303</v>
      </c>
      <c r="C18" s="9">
        <v>56</v>
      </c>
      <c r="D18" s="9">
        <v>57</v>
      </c>
      <c r="E18" s="9">
        <v>58</v>
      </c>
      <c r="F18" s="168"/>
      <c r="G18" s="168"/>
      <c r="H18" s="168"/>
      <c r="I18" s="168"/>
      <c r="J18" s="168"/>
      <c r="K18" s="168"/>
      <c r="L18" s="101"/>
      <c r="S18" s="1"/>
    </row>
    <row r="19" spans="1:22">
      <c r="A19" s="80"/>
      <c r="B19" s="8">
        <f t="shared" si="0"/>
        <v>304</v>
      </c>
      <c r="C19" s="11">
        <v>59</v>
      </c>
      <c r="D19" s="11">
        <v>60</v>
      </c>
      <c r="E19" s="9">
        <v>61</v>
      </c>
      <c r="F19" s="168"/>
      <c r="G19" s="168"/>
      <c r="H19" s="168"/>
      <c r="I19" s="168"/>
      <c r="J19" s="168"/>
      <c r="K19" s="168"/>
      <c r="L19" s="101"/>
      <c r="S19" s="92" t="s">
        <v>16</v>
      </c>
      <c r="T19" s="12" t="s">
        <v>10</v>
      </c>
      <c r="U19" s="13">
        <f>SUM(U20:U22)</f>
        <v>72</v>
      </c>
      <c r="V19" s="72">
        <v>1</v>
      </c>
    </row>
    <row r="20" spans="1:22">
      <c r="A20" s="80"/>
      <c r="B20" s="8">
        <f t="shared" si="0"/>
        <v>305</v>
      </c>
      <c r="C20" s="9">
        <v>62</v>
      </c>
      <c r="D20" s="9">
        <v>63</v>
      </c>
      <c r="E20" s="9">
        <v>64</v>
      </c>
      <c r="F20" s="168"/>
      <c r="G20" s="168"/>
      <c r="H20" s="168"/>
      <c r="I20" s="168"/>
      <c r="J20" s="168"/>
      <c r="K20" s="168"/>
      <c r="L20" s="101"/>
      <c r="S20" s="93"/>
      <c r="T20" s="14" t="s">
        <v>11</v>
      </c>
      <c r="U20" s="13" cm="1">
        <f t="array" ref="U20">CountByColor(C64:K81, T20)</f>
        <v>11</v>
      </c>
      <c r="V20" s="71">
        <v>0.15279999999999999</v>
      </c>
    </row>
    <row r="21" spans="1:22">
      <c r="A21" s="80"/>
      <c r="B21" s="8">
        <f t="shared" si="0"/>
        <v>306</v>
      </c>
      <c r="C21" s="9">
        <v>65</v>
      </c>
      <c r="D21" s="11">
        <v>66</v>
      </c>
      <c r="E21" s="9">
        <v>67</v>
      </c>
      <c r="F21" s="168"/>
      <c r="G21" s="168"/>
      <c r="H21" s="168"/>
      <c r="I21" s="168"/>
      <c r="J21" s="168"/>
      <c r="K21" s="168"/>
      <c r="L21" s="101"/>
      <c r="R21" s="1"/>
      <c r="S21" s="93"/>
      <c r="T21" s="15" t="s">
        <v>12</v>
      </c>
      <c r="U21" s="13" cm="1">
        <f t="array" ref="U21">CountByColor(C64:K81, T21)</f>
        <v>2</v>
      </c>
      <c r="V21" s="71">
        <v>2.7799999999999998E-2</v>
      </c>
    </row>
    <row r="22" spans="1:22">
      <c r="A22" s="80">
        <v>4</v>
      </c>
      <c r="B22" s="8">
        <f t="shared" si="0"/>
        <v>401</v>
      </c>
      <c r="C22" s="9">
        <v>74</v>
      </c>
      <c r="D22" s="9">
        <v>75</v>
      </c>
      <c r="E22" s="9">
        <v>76</v>
      </c>
      <c r="F22" s="75">
        <v>73</v>
      </c>
      <c r="G22" s="49">
        <v>92</v>
      </c>
      <c r="H22" s="49">
        <v>93</v>
      </c>
      <c r="I22" s="49">
        <v>94</v>
      </c>
      <c r="J22" s="49">
        <v>95</v>
      </c>
      <c r="K22" s="49">
        <v>96</v>
      </c>
      <c r="L22" s="101"/>
      <c r="S22" s="94"/>
      <c r="T22" s="16" t="s">
        <v>13</v>
      </c>
      <c r="U22" s="13" cm="1">
        <f t="array" ref="U22">CountByColor(C64:K81, T22)</f>
        <v>59</v>
      </c>
      <c r="V22" s="71">
        <v>0.81940000000000002</v>
      </c>
    </row>
    <row r="23" spans="1:22">
      <c r="A23" s="80"/>
      <c r="B23" s="8">
        <f t="shared" si="0"/>
        <v>402</v>
      </c>
      <c r="C23" s="9">
        <v>77</v>
      </c>
      <c r="D23" s="11">
        <v>78</v>
      </c>
      <c r="E23" s="11">
        <v>79</v>
      </c>
      <c r="F23" s="169"/>
      <c r="G23" s="170"/>
      <c r="H23" s="170"/>
      <c r="I23" s="170"/>
      <c r="J23" s="170"/>
      <c r="K23" s="171"/>
      <c r="L23" s="101"/>
      <c r="S23" s="1"/>
    </row>
    <row r="24" spans="1:22">
      <c r="A24" s="80"/>
      <c r="B24" s="8">
        <f t="shared" si="0"/>
        <v>403</v>
      </c>
      <c r="C24" s="11">
        <v>80</v>
      </c>
      <c r="D24" s="11">
        <v>81</v>
      </c>
      <c r="E24" s="9">
        <v>82</v>
      </c>
      <c r="F24" s="172"/>
      <c r="G24" s="173"/>
      <c r="H24" s="173"/>
      <c r="I24" s="173"/>
      <c r="J24" s="173"/>
      <c r="K24" s="174"/>
      <c r="L24" s="101"/>
      <c r="S24" s="92" t="s">
        <v>19</v>
      </c>
      <c r="T24" s="12" t="s">
        <v>10</v>
      </c>
      <c r="U24" s="13">
        <f>SUM(U25:U27)</f>
        <v>72</v>
      </c>
      <c r="V24" s="72">
        <v>1</v>
      </c>
    </row>
    <row r="25" spans="1:22">
      <c r="A25" s="80"/>
      <c r="B25" s="8">
        <f t="shared" si="0"/>
        <v>404</v>
      </c>
      <c r="C25" s="9">
        <v>83</v>
      </c>
      <c r="D25" s="9">
        <v>84</v>
      </c>
      <c r="E25" s="9">
        <v>85</v>
      </c>
      <c r="F25" s="172"/>
      <c r="G25" s="173"/>
      <c r="H25" s="173"/>
      <c r="I25" s="173"/>
      <c r="J25" s="173"/>
      <c r="K25" s="174"/>
      <c r="L25" s="101"/>
      <c r="S25" s="93"/>
      <c r="T25" s="14" t="s">
        <v>11</v>
      </c>
      <c r="U25" s="13" cm="1">
        <f t="array" ref="U25">CountByColor(C82:K99, T25)</f>
        <v>16</v>
      </c>
      <c r="V25" s="71">
        <v>0.22220000000000001</v>
      </c>
    </row>
    <row r="26" spans="1:22">
      <c r="A26" s="80"/>
      <c r="B26" s="8">
        <f t="shared" si="0"/>
        <v>405</v>
      </c>
      <c r="C26" s="11">
        <v>86</v>
      </c>
      <c r="D26" s="9">
        <v>87</v>
      </c>
      <c r="E26" s="9">
        <v>88</v>
      </c>
      <c r="F26" s="172"/>
      <c r="G26" s="173"/>
      <c r="H26" s="173"/>
      <c r="I26" s="173"/>
      <c r="J26" s="173"/>
      <c r="K26" s="174"/>
      <c r="L26" s="101"/>
      <c r="S26" s="93"/>
      <c r="T26" s="15" t="s">
        <v>12</v>
      </c>
      <c r="U26" s="13" cm="1">
        <f t="array" ref="U26">CountByColor(C82:K99, T26)</f>
        <v>2</v>
      </c>
      <c r="V26" s="71">
        <v>2.7799999999999998E-2</v>
      </c>
    </row>
    <row r="27" spans="1:22">
      <c r="A27" s="80"/>
      <c r="B27" s="8">
        <f t="shared" si="0"/>
        <v>406</v>
      </c>
      <c r="C27" s="11">
        <v>89</v>
      </c>
      <c r="D27" s="11">
        <v>90</v>
      </c>
      <c r="E27" s="9">
        <v>91</v>
      </c>
      <c r="F27" s="175"/>
      <c r="G27" s="176"/>
      <c r="H27" s="176"/>
      <c r="I27" s="176"/>
      <c r="J27" s="176"/>
      <c r="K27" s="177"/>
      <c r="L27" s="102"/>
      <c r="S27" s="94"/>
      <c r="T27" s="16" t="s">
        <v>13</v>
      </c>
      <c r="U27" s="13" cm="1">
        <f t="array" ref="U27">CountByColor(C82:K99, T27)</f>
        <v>54</v>
      </c>
      <c r="V27" s="71">
        <v>0.75</v>
      </c>
    </row>
    <row r="28" spans="1:22">
      <c r="A28" s="80">
        <v>5</v>
      </c>
      <c r="B28" s="8">
        <f t="shared" si="0"/>
        <v>501</v>
      </c>
      <c r="C28" s="9">
        <v>2</v>
      </c>
      <c r="D28" s="9">
        <v>3</v>
      </c>
      <c r="E28" s="9">
        <v>4</v>
      </c>
      <c r="F28" s="9">
        <v>1</v>
      </c>
      <c r="G28" s="9">
        <v>20</v>
      </c>
      <c r="H28" s="9">
        <v>21</v>
      </c>
      <c r="I28" s="9">
        <v>22</v>
      </c>
      <c r="J28" s="9">
        <v>23</v>
      </c>
      <c r="K28" s="9">
        <v>24</v>
      </c>
      <c r="L28" s="100" t="s">
        <v>14</v>
      </c>
      <c r="S28" s="1"/>
    </row>
    <row r="29" spans="1:22">
      <c r="A29" s="80"/>
      <c r="B29" s="8">
        <f t="shared" si="0"/>
        <v>502</v>
      </c>
      <c r="C29" s="9">
        <v>5</v>
      </c>
      <c r="D29" s="9">
        <v>6</v>
      </c>
      <c r="E29" s="9">
        <v>7</v>
      </c>
      <c r="F29" s="81"/>
      <c r="G29" s="81"/>
      <c r="H29" s="81"/>
      <c r="I29" s="81"/>
      <c r="J29" s="81"/>
      <c r="K29" s="81"/>
      <c r="L29" s="101"/>
      <c r="S29" s="92" t="s">
        <v>20</v>
      </c>
      <c r="T29" s="12" t="s">
        <v>10</v>
      </c>
      <c r="U29" s="13">
        <f>SUM(U30:U32)</f>
        <v>72</v>
      </c>
      <c r="V29" s="72">
        <v>1</v>
      </c>
    </row>
    <row r="30" spans="1:22">
      <c r="A30" s="80"/>
      <c r="B30" s="8">
        <f t="shared" si="0"/>
        <v>503</v>
      </c>
      <c r="C30" s="9">
        <v>8</v>
      </c>
      <c r="D30" s="10">
        <v>9</v>
      </c>
      <c r="E30" s="9">
        <v>10</v>
      </c>
      <c r="F30" s="81"/>
      <c r="G30" s="81"/>
      <c r="H30" s="81"/>
      <c r="I30" s="81"/>
      <c r="J30" s="81"/>
      <c r="K30" s="81"/>
      <c r="L30" s="101"/>
      <c r="S30" s="93"/>
      <c r="T30" s="14" t="s">
        <v>11</v>
      </c>
      <c r="U30" s="13" cm="1">
        <f t="array" ref="U30">CountByColor(C100:K117, T30)</f>
        <v>6</v>
      </c>
      <c r="V30" s="71">
        <v>0.125</v>
      </c>
    </row>
    <row r="31" spans="1:22">
      <c r="A31" s="80"/>
      <c r="B31" s="8">
        <f t="shared" si="0"/>
        <v>504</v>
      </c>
      <c r="C31" s="11">
        <v>11</v>
      </c>
      <c r="D31" s="11">
        <v>12</v>
      </c>
      <c r="E31" s="9">
        <v>13</v>
      </c>
      <c r="F31" s="81"/>
      <c r="G31" s="81"/>
      <c r="H31" s="81"/>
      <c r="I31" s="81"/>
      <c r="J31" s="81"/>
      <c r="K31" s="81"/>
      <c r="L31" s="101"/>
      <c r="O31" s="6"/>
      <c r="S31" s="93"/>
      <c r="T31" s="15" t="s">
        <v>12</v>
      </c>
      <c r="U31" s="13" cm="1">
        <f t="array" ref="U31">CountByColor(C100:K117, T31)</f>
        <v>3</v>
      </c>
      <c r="V31" s="72">
        <v>0</v>
      </c>
    </row>
    <row r="32" spans="1:22">
      <c r="A32" s="80"/>
      <c r="B32" s="8">
        <f t="shared" si="0"/>
        <v>505</v>
      </c>
      <c r="C32" s="9">
        <v>14</v>
      </c>
      <c r="D32" s="9">
        <v>15</v>
      </c>
      <c r="E32" s="9">
        <v>16</v>
      </c>
      <c r="F32" s="81"/>
      <c r="G32" s="81"/>
      <c r="H32" s="81"/>
      <c r="I32" s="81"/>
      <c r="J32" s="81"/>
      <c r="K32" s="81"/>
      <c r="L32" s="101"/>
      <c r="O32" s="6"/>
      <c r="S32" s="94"/>
      <c r="T32" s="16" t="s">
        <v>13</v>
      </c>
      <c r="U32" s="13" cm="1">
        <f t="array" ref="U32">CountByColor(C100:K117, T32)</f>
        <v>63</v>
      </c>
      <c r="V32" s="71">
        <v>0.875</v>
      </c>
    </row>
    <row r="33" spans="1:22">
      <c r="A33" s="80"/>
      <c r="B33" s="8">
        <f t="shared" si="0"/>
        <v>506</v>
      </c>
      <c r="C33" s="9">
        <v>17</v>
      </c>
      <c r="D33" s="9">
        <v>18</v>
      </c>
      <c r="E33" s="9">
        <v>19</v>
      </c>
      <c r="F33" s="81"/>
      <c r="G33" s="81"/>
      <c r="H33" s="81"/>
      <c r="I33" s="81"/>
      <c r="J33" s="81"/>
      <c r="K33" s="81"/>
      <c r="L33" s="101"/>
      <c r="O33" s="6"/>
      <c r="S33" s="1"/>
    </row>
    <row r="34" spans="1:22">
      <c r="A34" s="80">
        <v>6</v>
      </c>
      <c r="B34" s="8">
        <f t="shared" si="0"/>
        <v>601</v>
      </c>
      <c r="C34" s="9">
        <v>26</v>
      </c>
      <c r="D34" s="9">
        <v>27</v>
      </c>
      <c r="E34" s="9">
        <v>28</v>
      </c>
      <c r="F34" s="76">
        <v>25</v>
      </c>
      <c r="G34" s="9">
        <v>44</v>
      </c>
      <c r="H34" s="9">
        <v>45</v>
      </c>
      <c r="I34" s="9">
        <v>46</v>
      </c>
      <c r="J34" s="9">
        <v>47</v>
      </c>
      <c r="K34" s="9">
        <v>48</v>
      </c>
      <c r="L34" s="101"/>
      <c r="O34" s="6"/>
      <c r="S34" s="92" t="s">
        <v>21</v>
      </c>
      <c r="T34" s="12" t="s">
        <v>10</v>
      </c>
      <c r="U34" s="13">
        <f>SUM(U35:U37)</f>
        <v>72</v>
      </c>
      <c r="V34" s="71">
        <v>1</v>
      </c>
    </row>
    <row r="35" spans="1:22">
      <c r="A35" s="80"/>
      <c r="B35" s="8">
        <f t="shared" si="0"/>
        <v>602</v>
      </c>
      <c r="C35" s="9">
        <v>29</v>
      </c>
      <c r="D35" s="9">
        <v>30</v>
      </c>
      <c r="E35" s="11">
        <v>31</v>
      </c>
      <c r="F35" s="81"/>
      <c r="G35" s="81"/>
      <c r="H35" s="81"/>
      <c r="I35" s="81"/>
      <c r="J35" s="81"/>
      <c r="K35" s="81"/>
      <c r="L35" s="101"/>
      <c r="O35" s="6"/>
      <c r="S35" s="93"/>
      <c r="T35" s="14" t="s">
        <v>11</v>
      </c>
      <c r="U35" s="13" cm="1">
        <f t="array" ref="U35">CountByColor(C118:K135, T35)</f>
        <v>12</v>
      </c>
      <c r="V35" s="71">
        <v>0.16669999999999999</v>
      </c>
    </row>
    <row r="36" spans="1:22">
      <c r="A36" s="80"/>
      <c r="B36" s="8">
        <f t="shared" si="0"/>
        <v>603</v>
      </c>
      <c r="C36" s="9">
        <v>32</v>
      </c>
      <c r="D36" s="9">
        <v>33</v>
      </c>
      <c r="E36" s="9">
        <v>34</v>
      </c>
      <c r="F36" s="81"/>
      <c r="G36" s="81"/>
      <c r="H36" s="81"/>
      <c r="I36" s="81"/>
      <c r="J36" s="81"/>
      <c r="K36" s="81"/>
      <c r="L36" s="101"/>
      <c r="N36" s="1"/>
      <c r="O36" s="6"/>
      <c r="S36" s="93"/>
      <c r="T36" s="15" t="s">
        <v>12</v>
      </c>
      <c r="U36" s="13" cm="1">
        <f t="array" ref="U36">CountByColor(C118:K135, T36)</f>
        <v>2</v>
      </c>
      <c r="V36" s="71">
        <v>2.7799999999999998E-2</v>
      </c>
    </row>
    <row r="37" spans="1:22">
      <c r="A37" s="80"/>
      <c r="B37" s="8">
        <f t="shared" si="0"/>
        <v>604</v>
      </c>
      <c r="C37" s="11">
        <v>35</v>
      </c>
      <c r="D37" s="9">
        <v>36</v>
      </c>
      <c r="E37" s="9">
        <v>37</v>
      </c>
      <c r="F37" s="81"/>
      <c r="G37" s="81"/>
      <c r="H37" s="81"/>
      <c r="I37" s="81"/>
      <c r="J37" s="81"/>
      <c r="K37" s="81"/>
      <c r="L37" s="101"/>
      <c r="N37" s="1"/>
      <c r="O37" s="6"/>
      <c r="S37" s="94"/>
      <c r="T37" s="16" t="s">
        <v>13</v>
      </c>
      <c r="U37" s="13" cm="1">
        <f t="array" ref="U37">CountByColor(C118:K135, T37)</f>
        <v>58</v>
      </c>
      <c r="V37" s="71">
        <v>0.80559999999999998</v>
      </c>
    </row>
    <row r="38" spans="1:22">
      <c r="A38" s="80"/>
      <c r="B38" s="8">
        <f t="shared" si="0"/>
        <v>605</v>
      </c>
      <c r="C38" s="10">
        <v>38</v>
      </c>
      <c r="D38" s="9">
        <v>39</v>
      </c>
      <c r="E38" s="9">
        <v>40</v>
      </c>
      <c r="F38" s="81"/>
      <c r="G38" s="81"/>
      <c r="H38" s="81"/>
      <c r="I38" s="81"/>
      <c r="J38" s="81"/>
      <c r="K38" s="81"/>
      <c r="L38" s="101"/>
      <c r="N38" s="1"/>
      <c r="S38" s="1"/>
    </row>
    <row r="39" spans="1:22">
      <c r="A39" s="80"/>
      <c r="B39" s="8">
        <f t="shared" si="0"/>
        <v>606</v>
      </c>
      <c r="C39" s="9">
        <v>41</v>
      </c>
      <c r="D39" s="9">
        <v>42</v>
      </c>
      <c r="E39" s="9">
        <v>43</v>
      </c>
      <c r="F39" s="81"/>
      <c r="G39" s="81"/>
      <c r="H39" s="81"/>
      <c r="I39" s="81"/>
      <c r="J39" s="81"/>
      <c r="K39" s="81"/>
      <c r="L39" s="101"/>
      <c r="N39" s="17"/>
      <c r="S39" s="92" t="s">
        <v>22</v>
      </c>
      <c r="T39" s="12" t="s">
        <v>10</v>
      </c>
      <c r="U39" s="13">
        <f>SUM(U40:U42)</f>
        <v>81</v>
      </c>
      <c r="V39" s="72">
        <v>1</v>
      </c>
    </row>
    <row r="40" spans="1:22">
      <c r="A40" s="80">
        <v>7</v>
      </c>
      <c r="B40" s="8">
        <f t="shared" si="0"/>
        <v>701</v>
      </c>
      <c r="C40" s="9">
        <v>50</v>
      </c>
      <c r="D40" s="9">
        <v>51</v>
      </c>
      <c r="E40" s="9">
        <v>52</v>
      </c>
      <c r="F40" s="9">
        <v>49</v>
      </c>
      <c r="G40" s="9">
        <v>68</v>
      </c>
      <c r="H40" s="9">
        <v>69</v>
      </c>
      <c r="I40" s="9">
        <v>70</v>
      </c>
      <c r="J40" s="9">
        <v>71</v>
      </c>
      <c r="K40" s="9">
        <v>72</v>
      </c>
      <c r="L40" s="101"/>
      <c r="M40" s="1"/>
      <c r="N40" s="6"/>
      <c r="R40" s="1"/>
      <c r="S40" s="93"/>
      <c r="T40" s="14" t="s">
        <v>11</v>
      </c>
      <c r="U40" s="13" cm="1">
        <f t="array" ref="U40">CountByColor(C136:L156, T40)</f>
        <v>5</v>
      </c>
      <c r="V40" s="71">
        <v>6.1699999999999998E-2</v>
      </c>
    </row>
    <row r="41" spans="1:22">
      <c r="A41" s="80"/>
      <c r="B41" s="8">
        <f t="shared" si="0"/>
        <v>702</v>
      </c>
      <c r="C41" s="9">
        <v>53</v>
      </c>
      <c r="D41" s="9">
        <v>54</v>
      </c>
      <c r="E41" s="9">
        <v>55</v>
      </c>
      <c r="F41" s="168"/>
      <c r="G41" s="168"/>
      <c r="H41" s="168"/>
      <c r="I41" s="168"/>
      <c r="J41" s="168"/>
      <c r="K41" s="168"/>
      <c r="L41" s="101"/>
      <c r="M41" s="1"/>
      <c r="N41" s="6"/>
      <c r="R41" s="1"/>
      <c r="S41" s="93"/>
      <c r="T41" s="15" t="s">
        <v>12</v>
      </c>
      <c r="U41" s="13" cm="1">
        <f t="array" ref="U41">CountByColor(C136:K156, T41)</f>
        <v>2</v>
      </c>
      <c r="V41" s="71">
        <v>2.47E-2</v>
      </c>
    </row>
    <row r="42" spans="1:22">
      <c r="A42" s="80"/>
      <c r="B42" s="8">
        <f t="shared" si="0"/>
        <v>703</v>
      </c>
      <c r="C42" s="9">
        <v>56</v>
      </c>
      <c r="D42" s="9">
        <v>57</v>
      </c>
      <c r="E42" s="9">
        <v>58</v>
      </c>
      <c r="F42" s="168"/>
      <c r="G42" s="168"/>
      <c r="H42" s="168"/>
      <c r="I42" s="168"/>
      <c r="J42" s="168"/>
      <c r="K42" s="168"/>
      <c r="L42" s="101"/>
      <c r="M42" s="1"/>
      <c r="N42" s="6"/>
      <c r="R42" s="1"/>
      <c r="S42" s="94"/>
      <c r="T42" s="16" t="s">
        <v>13</v>
      </c>
      <c r="U42" s="13" cm="1">
        <f t="array" ref="U42">CountByColor(C136:K156, T42)</f>
        <v>74</v>
      </c>
      <c r="V42" s="71">
        <v>0.91359999999999997</v>
      </c>
    </row>
    <row r="43" spans="1:22">
      <c r="A43" s="80"/>
      <c r="B43" s="8">
        <f t="shared" si="0"/>
        <v>704</v>
      </c>
      <c r="C43" s="9">
        <v>59</v>
      </c>
      <c r="D43" s="9">
        <v>60</v>
      </c>
      <c r="E43" s="9">
        <v>61</v>
      </c>
      <c r="F43" s="168"/>
      <c r="G43" s="168"/>
      <c r="H43" s="168"/>
      <c r="I43" s="168"/>
      <c r="J43" s="168"/>
      <c r="K43" s="168"/>
      <c r="L43" s="101"/>
      <c r="M43" s="1"/>
      <c r="N43" s="6"/>
      <c r="R43" s="1"/>
    </row>
    <row r="44" spans="1:22">
      <c r="A44" s="80"/>
      <c r="B44" s="8">
        <f t="shared" si="0"/>
        <v>705</v>
      </c>
      <c r="C44" s="11">
        <v>62</v>
      </c>
      <c r="D44" s="11">
        <v>63</v>
      </c>
      <c r="E44" s="9">
        <v>64</v>
      </c>
      <c r="F44" s="168"/>
      <c r="G44" s="168"/>
      <c r="H44" s="168"/>
      <c r="I44" s="168"/>
      <c r="J44" s="168"/>
      <c r="K44" s="168"/>
      <c r="L44" s="101"/>
      <c r="M44" s="1"/>
      <c r="N44" s="6"/>
      <c r="R44" s="1"/>
    </row>
    <row r="45" spans="1:22">
      <c r="A45" s="80"/>
      <c r="B45" s="8">
        <f t="shared" si="0"/>
        <v>706</v>
      </c>
      <c r="C45" s="11">
        <v>65</v>
      </c>
      <c r="D45" s="9">
        <v>66</v>
      </c>
      <c r="E45" s="9">
        <v>67</v>
      </c>
      <c r="F45" s="168"/>
      <c r="G45" s="168"/>
      <c r="H45" s="168"/>
      <c r="I45" s="168"/>
      <c r="J45" s="168"/>
      <c r="K45" s="168"/>
      <c r="L45" s="102"/>
      <c r="M45" s="1"/>
      <c r="N45" s="6"/>
      <c r="R45" s="1"/>
    </row>
    <row r="46" spans="1:22">
      <c r="A46" s="80">
        <v>8</v>
      </c>
      <c r="B46" s="8">
        <f t="shared" si="0"/>
        <v>801</v>
      </c>
      <c r="C46" s="9">
        <v>2</v>
      </c>
      <c r="D46" s="9">
        <v>3</v>
      </c>
      <c r="E46" s="9">
        <v>4</v>
      </c>
      <c r="F46" s="9">
        <v>1</v>
      </c>
      <c r="G46" s="9">
        <v>20</v>
      </c>
      <c r="H46" s="9">
        <v>21</v>
      </c>
      <c r="I46" s="9">
        <v>22</v>
      </c>
      <c r="J46" s="9">
        <v>23</v>
      </c>
      <c r="K46" s="9">
        <v>24</v>
      </c>
      <c r="L46" s="91" t="s">
        <v>15</v>
      </c>
      <c r="M46" s="1"/>
      <c r="N46" s="6"/>
      <c r="R46" s="1"/>
    </row>
    <row r="47" spans="1:22">
      <c r="A47" s="80"/>
      <c r="B47" s="8">
        <f t="shared" si="0"/>
        <v>802</v>
      </c>
      <c r="C47" s="9">
        <v>5</v>
      </c>
      <c r="D47" s="9">
        <v>6</v>
      </c>
      <c r="E47" s="9">
        <v>7</v>
      </c>
      <c r="F47" s="81"/>
      <c r="G47" s="81"/>
      <c r="H47" s="81"/>
      <c r="I47" s="81"/>
      <c r="J47" s="81"/>
      <c r="K47" s="81"/>
      <c r="L47" s="91"/>
      <c r="M47" s="1"/>
      <c r="N47" s="6"/>
      <c r="R47" s="1"/>
    </row>
    <row r="48" spans="1:22">
      <c r="A48" s="80"/>
      <c r="B48" s="8">
        <f t="shared" si="0"/>
        <v>803</v>
      </c>
      <c r="C48" s="9">
        <v>8</v>
      </c>
      <c r="D48" s="9">
        <v>9</v>
      </c>
      <c r="E48" s="9">
        <v>10</v>
      </c>
      <c r="F48" s="81"/>
      <c r="G48" s="81"/>
      <c r="H48" s="81"/>
      <c r="I48" s="81"/>
      <c r="J48" s="81"/>
      <c r="K48" s="81"/>
      <c r="L48" s="91"/>
      <c r="M48" s="1"/>
      <c r="N48" s="6"/>
      <c r="O48" s="6"/>
      <c r="R48" s="1"/>
    </row>
    <row r="49" spans="1:18">
      <c r="A49" s="80"/>
      <c r="B49" s="8">
        <f t="shared" si="0"/>
        <v>804</v>
      </c>
      <c r="C49" s="10">
        <v>11</v>
      </c>
      <c r="D49" s="9">
        <v>12</v>
      </c>
      <c r="E49" s="9">
        <v>13</v>
      </c>
      <c r="F49" s="81"/>
      <c r="G49" s="81"/>
      <c r="H49" s="81"/>
      <c r="I49" s="81"/>
      <c r="J49" s="81"/>
      <c r="K49" s="81"/>
      <c r="L49" s="91"/>
      <c r="M49" s="1"/>
      <c r="N49" s="6"/>
      <c r="O49" s="6"/>
      <c r="R49" s="1"/>
    </row>
    <row r="50" spans="1:18">
      <c r="A50" s="80"/>
      <c r="B50" s="8">
        <f t="shared" si="0"/>
        <v>805</v>
      </c>
      <c r="C50" s="9">
        <v>14</v>
      </c>
      <c r="D50" s="9">
        <v>15</v>
      </c>
      <c r="E50" s="9">
        <v>16</v>
      </c>
      <c r="F50" s="81"/>
      <c r="G50" s="81"/>
      <c r="H50" s="81"/>
      <c r="I50" s="81"/>
      <c r="J50" s="81"/>
      <c r="K50" s="81"/>
      <c r="L50" s="91"/>
      <c r="O50" s="6"/>
    </row>
    <row r="51" spans="1:18">
      <c r="A51" s="80"/>
      <c r="B51" s="8">
        <f t="shared" si="0"/>
        <v>806</v>
      </c>
      <c r="C51" s="9">
        <v>17</v>
      </c>
      <c r="D51" s="9">
        <v>18</v>
      </c>
      <c r="E51" s="9">
        <v>19</v>
      </c>
      <c r="F51" s="81"/>
      <c r="G51" s="81"/>
      <c r="H51" s="81"/>
      <c r="I51" s="81"/>
      <c r="J51" s="81"/>
      <c r="K51" s="81"/>
      <c r="L51" s="91"/>
      <c r="O51" s="6"/>
    </row>
    <row r="52" spans="1:18">
      <c r="A52" s="80">
        <v>9</v>
      </c>
      <c r="B52" s="8">
        <f t="shared" si="0"/>
        <v>901</v>
      </c>
      <c r="C52" s="9">
        <v>26</v>
      </c>
      <c r="D52" s="9">
        <v>27</v>
      </c>
      <c r="E52" s="9">
        <v>28</v>
      </c>
      <c r="F52" s="76">
        <v>25</v>
      </c>
      <c r="G52" s="9">
        <v>44</v>
      </c>
      <c r="H52" s="9">
        <v>45</v>
      </c>
      <c r="I52" s="9">
        <v>46</v>
      </c>
      <c r="J52" s="9">
        <v>47</v>
      </c>
      <c r="K52" s="9">
        <v>48</v>
      </c>
      <c r="L52" s="91"/>
      <c r="O52" s="6"/>
    </row>
    <row r="53" spans="1:18">
      <c r="A53" s="80"/>
      <c r="B53" s="8">
        <f t="shared" si="0"/>
        <v>902</v>
      </c>
      <c r="C53" s="9">
        <v>29</v>
      </c>
      <c r="D53" s="11">
        <v>30</v>
      </c>
      <c r="E53" s="9">
        <v>31</v>
      </c>
      <c r="F53" s="81"/>
      <c r="G53" s="81"/>
      <c r="H53" s="81"/>
      <c r="I53" s="81"/>
      <c r="J53" s="81"/>
      <c r="K53" s="81"/>
      <c r="L53" s="91"/>
      <c r="O53" s="6"/>
    </row>
    <row r="54" spans="1:18">
      <c r="A54" s="80"/>
      <c r="B54" s="8">
        <f t="shared" si="0"/>
        <v>903</v>
      </c>
      <c r="C54" s="10">
        <v>32</v>
      </c>
      <c r="D54" s="9">
        <v>33</v>
      </c>
      <c r="E54" s="9">
        <v>34</v>
      </c>
      <c r="F54" s="81"/>
      <c r="G54" s="81"/>
      <c r="H54" s="81"/>
      <c r="I54" s="81"/>
      <c r="J54" s="81"/>
      <c r="K54" s="81"/>
      <c r="L54" s="91"/>
      <c r="O54" s="6"/>
    </row>
    <row r="55" spans="1:18">
      <c r="A55" s="80"/>
      <c r="B55" s="8">
        <f t="shared" si="0"/>
        <v>904</v>
      </c>
      <c r="C55" s="9">
        <v>35</v>
      </c>
      <c r="D55" s="9">
        <v>36</v>
      </c>
      <c r="E55" s="9">
        <v>37</v>
      </c>
      <c r="F55" s="81"/>
      <c r="G55" s="81"/>
      <c r="H55" s="81"/>
      <c r="I55" s="81"/>
      <c r="J55" s="81"/>
      <c r="K55" s="81"/>
      <c r="L55" s="91"/>
      <c r="O55" s="6"/>
    </row>
    <row r="56" spans="1:18">
      <c r="A56" s="80"/>
      <c r="B56" s="8">
        <f t="shared" si="0"/>
        <v>905</v>
      </c>
      <c r="C56" s="9">
        <v>38</v>
      </c>
      <c r="D56" s="10">
        <v>39</v>
      </c>
      <c r="E56" s="9">
        <v>40</v>
      </c>
      <c r="F56" s="81"/>
      <c r="G56" s="81"/>
      <c r="H56" s="81"/>
      <c r="I56" s="81"/>
      <c r="J56" s="81"/>
      <c r="K56" s="81"/>
      <c r="L56" s="91"/>
      <c r="O56" s="6"/>
    </row>
    <row r="57" spans="1:18">
      <c r="A57" s="80"/>
      <c r="B57" s="8">
        <f t="shared" si="0"/>
        <v>906</v>
      </c>
      <c r="C57" s="9">
        <v>41</v>
      </c>
      <c r="D57" s="9">
        <v>42</v>
      </c>
      <c r="E57" s="9">
        <v>43</v>
      </c>
      <c r="F57" s="81"/>
      <c r="G57" s="81"/>
      <c r="H57" s="81"/>
      <c r="I57" s="81"/>
      <c r="J57" s="81"/>
      <c r="K57" s="81"/>
      <c r="L57" s="91"/>
      <c r="O57" s="6"/>
    </row>
    <row r="58" spans="1:18">
      <c r="A58" s="80">
        <v>10</v>
      </c>
      <c r="B58" s="8">
        <f t="shared" si="0"/>
        <v>1001</v>
      </c>
      <c r="C58" s="9">
        <v>50</v>
      </c>
      <c r="D58" s="9">
        <v>51</v>
      </c>
      <c r="E58" s="9">
        <v>52</v>
      </c>
      <c r="F58" s="9">
        <v>49</v>
      </c>
      <c r="G58" s="9">
        <v>68</v>
      </c>
      <c r="H58" s="9">
        <v>69</v>
      </c>
      <c r="I58" s="9">
        <v>70</v>
      </c>
      <c r="J58" s="9">
        <v>71</v>
      </c>
      <c r="K58" s="9">
        <v>72</v>
      </c>
      <c r="L58" s="91"/>
      <c r="O58" s="6"/>
    </row>
    <row r="59" spans="1:18">
      <c r="A59" s="80"/>
      <c r="B59" s="8">
        <f t="shared" si="0"/>
        <v>1002</v>
      </c>
      <c r="C59" s="9">
        <v>53</v>
      </c>
      <c r="D59" s="11">
        <v>54</v>
      </c>
      <c r="E59" s="11">
        <v>55</v>
      </c>
      <c r="F59" s="168"/>
      <c r="G59" s="168"/>
      <c r="H59" s="168"/>
      <c r="I59" s="168"/>
      <c r="J59" s="168"/>
      <c r="K59" s="168"/>
      <c r="L59" s="91"/>
      <c r="O59" s="6"/>
    </row>
    <row r="60" spans="1:18">
      <c r="A60" s="80"/>
      <c r="B60" s="8">
        <f t="shared" si="0"/>
        <v>1003</v>
      </c>
      <c r="C60" s="9">
        <v>56</v>
      </c>
      <c r="D60" s="9">
        <v>57</v>
      </c>
      <c r="E60" s="9">
        <v>58</v>
      </c>
      <c r="F60" s="168"/>
      <c r="G60" s="168"/>
      <c r="H60" s="168"/>
      <c r="I60" s="168"/>
      <c r="J60" s="168"/>
      <c r="K60" s="168"/>
      <c r="L60" s="91"/>
      <c r="O60" s="6"/>
    </row>
    <row r="61" spans="1:18">
      <c r="A61" s="80"/>
      <c r="B61" s="8">
        <f t="shared" si="0"/>
        <v>1004</v>
      </c>
      <c r="C61" s="9">
        <v>59</v>
      </c>
      <c r="D61" s="9">
        <v>60</v>
      </c>
      <c r="E61" s="9">
        <v>61</v>
      </c>
      <c r="F61" s="168"/>
      <c r="G61" s="168"/>
      <c r="H61" s="168"/>
      <c r="I61" s="168"/>
      <c r="J61" s="168"/>
      <c r="K61" s="168"/>
      <c r="L61" s="91"/>
      <c r="O61" s="6"/>
    </row>
    <row r="62" spans="1:18">
      <c r="A62" s="80"/>
      <c r="B62" s="8">
        <f t="shared" si="0"/>
        <v>1005</v>
      </c>
      <c r="C62" s="9">
        <v>62</v>
      </c>
      <c r="D62" s="11">
        <v>63</v>
      </c>
      <c r="E62" s="9">
        <v>64</v>
      </c>
      <c r="F62" s="168"/>
      <c r="G62" s="168"/>
      <c r="H62" s="168"/>
      <c r="I62" s="168"/>
      <c r="J62" s="168"/>
      <c r="K62" s="168"/>
      <c r="L62" s="91"/>
      <c r="O62" s="6"/>
    </row>
    <row r="63" spans="1:18">
      <c r="A63" s="80"/>
      <c r="B63" s="8">
        <f t="shared" si="0"/>
        <v>1006</v>
      </c>
      <c r="C63" s="9">
        <v>65</v>
      </c>
      <c r="D63" s="11">
        <v>66</v>
      </c>
      <c r="E63" s="9">
        <v>67</v>
      </c>
      <c r="F63" s="168"/>
      <c r="G63" s="168"/>
      <c r="H63" s="168"/>
      <c r="I63" s="168"/>
      <c r="J63" s="168"/>
      <c r="K63" s="168"/>
      <c r="L63" s="91"/>
      <c r="O63" s="6"/>
    </row>
    <row r="64" spans="1:18">
      <c r="A64" s="80">
        <v>11</v>
      </c>
      <c r="B64" s="8">
        <f t="shared" si="0"/>
        <v>1101</v>
      </c>
      <c r="C64" s="9">
        <v>2</v>
      </c>
      <c r="D64" s="9">
        <v>3</v>
      </c>
      <c r="E64" s="9">
        <v>4</v>
      </c>
      <c r="F64" s="9">
        <v>1</v>
      </c>
      <c r="G64" s="9">
        <v>20</v>
      </c>
      <c r="H64" s="9">
        <v>21</v>
      </c>
      <c r="I64" s="9">
        <v>22</v>
      </c>
      <c r="J64" s="9">
        <v>23</v>
      </c>
      <c r="K64" s="9">
        <v>24</v>
      </c>
      <c r="L64" s="100" t="s">
        <v>16</v>
      </c>
      <c r="O64" s="6"/>
    </row>
    <row r="65" spans="1:15">
      <c r="A65" s="80"/>
      <c r="B65" s="8">
        <f t="shared" si="0"/>
        <v>1102</v>
      </c>
      <c r="C65" s="9">
        <v>5</v>
      </c>
      <c r="D65" s="9">
        <v>6</v>
      </c>
      <c r="E65" s="9">
        <v>7</v>
      </c>
      <c r="F65" s="81"/>
      <c r="G65" s="81"/>
      <c r="H65" s="81"/>
      <c r="I65" s="81"/>
      <c r="J65" s="81"/>
      <c r="K65" s="81"/>
      <c r="L65" s="101"/>
      <c r="O65" s="6"/>
    </row>
    <row r="66" spans="1:15">
      <c r="A66" s="80"/>
      <c r="B66" s="8">
        <f t="shared" si="0"/>
        <v>1103</v>
      </c>
      <c r="C66" s="11">
        <v>8</v>
      </c>
      <c r="D66" s="9">
        <v>9</v>
      </c>
      <c r="E66" s="9">
        <v>10</v>
      </c>
      <c r="F66" s="81"/>
      <c r="G66" s="81"/>
      <c r="H66" s="81"/>
      <c r="I66" s="81"/>
      <c r="J66" s="81"/>
      <c r="K66" s="81"/>
      <c r="L66" s="101"/>
      <c r="O66" s="6"/>
    </row>
    <row r="67" spans="1:15">
      <c r="A67" s="80"/>
      <c r="B67" s="8">
        <f t="shared" si="0"/>
        <v>1104</v>
      </c>
      <c r="C67" s="9">
        <v>11</v>
      </c>
      <c r="D67" s="9">
        <v>12</v>
      </c>
      <c r="E67" s="9">
        <v>13</v>
      </c>
      <c r="F67" s="81"/>
      <c r="G67" s="81"/>
      <c r="H67" s="81"/>
      <c r="I67" s="81"/>
      <c r="J67" s="81"/>
      <c r="K67" s="81"/>
      <c r="L67" s="101"/>
      <c r="O67" s="6"/>
    </row>
    <row r="68" spans="1:15">
      <c r="A68" s="80"/>
      <c r="B68" s="8">
        <f t="shared" si="0"/>
        <v>1105</v>
      </c>
      <c r="C68" s="9">
        <v>14</v>
      </c>
      <c r="D68" s="11">
        <v>15</v>
      </c>
      <c r="E68" s="9">
        <v>16</v>
      </c>
      <c r="F68" s="81"/>
      <c r="G68" s="81"/>
      <c r="H68" s="81"/>
      <c r="I68" s="81"/>
      <c r="J68" s="81"/>
      <c r="K68" s="81"/>
      <c r="L68" s="101"/>
      <c r="O68" s="6"/>
    </row>
    <row r="69" spans="1:15">
      <c r="A69" s="80"/>
      <c r="B69" s="8">
        <f t="shared" ref="B69:B132" si="1">(INT((ROW()-4)/6)+1)*100 + MOD(ROW()-4,6)+1</f>
        <v>1106</v>
      </c>
      <c r="C69" s="9">
        <v>17</v>
      </c>
      <c r="D69" s="9">
        <v>18</v>
      </c>
      <c r="E69" s="9">
        <v>19</v>
      </c>
      <c r="F69" s="81"/>
      <c r="G69" s="81"/>
      <c r="H69" s="81"/>
      <c r="I69" s="81"/>
      <c r="J69" s="81"/>
      <c r="K69" s="81"/>
      <c r="L69" s="101"/>
      <c r="O69" s="6"/>
    </row>
    <row r="70" spans="1:15">
      <c r="A70" s="80">
        <v>12</v>
      </c>
      <c r="B70" s="8">
        <f t="shared" si="1"/>
        <v>1201</v>
      </c>
      <c r="C70" s="9">
        <v>26</v>
      </c>
      <c r="D70" s="11">
        <v>27</v>
      </c>
      <c r="E70" s="9">
        <v>28</v>
      </c>
      <c r="F70" s="9">
        <v>25</v>
      </c>
      <c r="G70" s="9">
        <v>44</v>
      </c>
      <c r="H70" s="9">
        <v>45</v>
      </c>
      <c r="I70" s="9">
        <v>46</v>
      </c>
      <c r="J70" s="9">
        <v>47</v>
      </c>
      <c r="K70" s="9">
        <v>48</v>
      </c>
      <c r="L70" s="101"/>
      <c r="O70" s="6"/>
    </row>
    <row r="71" spans="1:15">
      <c r="A71" s="80"/>
      <c r="B71" s="8">
        <f t="shared" si="1"/>
        <v>1202</v>
      </c>
      <c r="C71" s="9">
        <v>29</v>
      </c>
      <c r="D71" s="9">
        <v>30</v>
      </c>
      <c r="E71" s="9">
        <v>31</v>
      </c>
      <c r="F71" s="81"/>
      <c r="G71" s="81"/>
      <c r="H71" s="81"/>
      <c r="I71" s="81"/>
      <c r="J71" s="81"/>
      <c r="K71" s="81"/>
      <c r="L71" s="101"/>
      <c r="O71" s="6"/>
    </row>
    <row r="72" spans="1:15">
      <c r="A72" s="80"/>
      <c r="B72" s="8">
        <f t="shared" si="1"/>
        <v>1203</v>
      </c>
      <c r="C72" s="9">
        <v>32</v>
      </c>
      <c r="D72" s="9">
        <v>33</v>
      </c>
      <c r="E72" s="9">
        <v>34</v>
      </c>
      <c r="F72" s="81"/>
      <c r="G72" s="81"/>
      <c r="H72" s="81"/>
      <c r="I72" s="81"/>
      <c r="J72" s="81"/>
      <c r="K72" s="81"/>
      <c r="L72" s="101"/>
      <c r="O72" s="6"/>
    </row>
    <row r="73" spans="1:15">
      <c r="A73" s="80"/>
      <c r="B73" s="8">
        <f t="shared" si="1"/>
        <v>1204</v>
      </c>
      <c r="C73" s="9">
        <v>35</v>
      </c>
      <c r="D73" s="11">
        <v>36</v>
      </c>
      <c r="E73" s="9">
        <v>37</v>
      </c>
      <c r="F73" s="81"/>
      <c r="G73" s="81"/>
      <c r="H73" s="81"/>
      <c r="I73" s="81"/>
      <c r="J73" s="81"/>
      <c r="K73" s="81"/>
      <c r="L73" s="101"/>
      <c r="O73" s="6"/>
    </row>
    <row r="74" spans="1:15">
      <c r="A74" s="80"/>
      <c r="B74" s="8">
        <f t="shared" si="1"/>
        <v>1205</v>
      </c>
      <c r="C74" s="9">
        <v>38</v>
      </c>
      <c r="D74" s="11">
        <v>39</v>
      </c>
      <c r="E74" s="9">
        <v>40</v>
      </c>
      <c r="F74" s="81"/>
      <c r="G74" s="81"/>
      <c r="H74" s="81"/>
      <c r="I74" s="81"/>
      <c r="J74" s="81"/>
      <c r="K74" s="81"/>
      <c r="L74" s="101"/>
      <c r="O74" s="6"/>
    </row>
    <row r="75" spans="1:15">
      <c r="A75" s="80"/>
      <c r="B75" s="8">
        <f t="shared" si="1"/>
        <v>1206</v>
      </c>
      <c r="C75" s="9">
        <v>41</v>
      </c>
      <c r="D75" s="9">
        <v>42</v>
      </c>
      <c r="E75" s="9">
        <v>43</v>
      </c>
      <c r="F75" s="81"/>
      <c r="G75" s="81"/>
      <c r="H75" s="81"/>
      <c r="I75" s="81"/>
      <c r="J75" s="81"/>
      <c r="K75" s="81"/>
      <c r="L75" s="101"/>
      <c r="O75" s="6"/>
    </row>
    <row r="76" spans="1:15">
      <c r="A76" s="80">
        <v>13</v>
      </c>
      <c r="B76" s="8">
        <f t="shared" si="1"/>
        <v>1301</v>
      </c>
      <c r="C76" s="9">
        <v>50</v>
      </c>
      <c r="D76" s="9">
        <v>51</v>
      </c>
      <c r="E76" s="9">
        <v>52</v>
      </c>
      <c r="F76" s="10">
        <v>49</v>
      </c>
      <c r="G76" s="9">
        <v>68</v>
      </c>
      <c r="H76" s="10">
        <v>69</v>
      </c>
      <c r="I76" s="9">
        <v>70</v>
      </c>
      <c r="J76" s="9">
        <v>71</v>
      </c>
      <c r="K76" s="9">
        <v>72</v>
      </c>
      <c r="L76" s="101"/>
      <c r="O76" s="6"/>
    </row>
    <row r="77" spans="1:15">
      <c r="A77" s="80"/>
      <c r="B77" s="8">
        <f t="shared" si="1"/>
        <v>1302</v>
      </c>
      <c r="C77" s="9">
        <v>53</v>
      </c>
      <c r="D77" s="11">
        <v>54</v>
      </c>
      <c r="E77" s="9">
        <v>55</v>
      </c>
      <c r="F77" s="168"/>
      <c r="G77" s="168"/>
      <c r="H77" s="168"/>
      <c r="I77" s="168"/>
      <c r="J77" s="168"/>
      <c r="K77" s="168"/>
      <c r="L77" s="101"/>
      <c r="O77" s="6"/>
    </row>
    <row r="78" spans="1:15">
      <c r="A78" s="80"/>
      <c r="B78" s="8">
        <f t="shared" si="1"/>
        <v>1303</v>
      </c>
      <c r="C78" s="9">
        <v>56</v>
      </c>
      <c r="D78" s="11">
        <v>57</v>
      </c>
      <c r="E78" s="9">
        <v>58</v>
      </c>
      <c r="F78" s="168"/>
      <c r="G78" s="168"/>
      <c r="H78" s="168"/>
      <c r="I78" s="168"/>
      <c r="J78" s="168"/>
      <c r="K78" s="168"/>
      <c r="L78" s="101"/>
      <c r="O78" s="6"/>
    </row>
    <row r="79" spans="1:15">
      <c r="A79" s="80"/>
      <c r="B79" s="8">
        <f t="shared" si="1"/>
        <v>1304</v>
      </c>
      <c r="C79" s="9">
        <v>59</v>
      </c>
      <c r="D79" s="11">
        <v>60</v>
      </c>
      <c r="E79" s="11">
        <v>61</v>
      </c>
      <c r="F79" s="168"/>
      <c r="G79" s="168"/>
      <c r="H79" s="168"/>
      <c r="I79" s="168"/>
      <c r="J79" s="168"/>
      <c r="K79" s="168"/>
      <c r="L79" s="101"/>
      <c r="O79" s="6"/>
    </row>
    <row r="80" spans="1:15">
      <c r="A80" s="80"/>
      <c r="B80" s="8">
        <f t="shared" si="1"/>
        <v>1305</v>
      </c>
      <c r="C80" s="9">
        <v>62</v>
      </c>
      <c r="D80" s="9">
        <v>63</v>
      </c>
      <c r="E80" s="9">
        <v>64</v>
      </c>
      <c r="F80" s="168"/>
      <c r="G80" s="168"/>
      <c r="H80" s="168"/>
      <c r="I80" s="168"/>
      <c r="J80" s="168"/>
      <c r="K80" s="168"/>
      <c r="L80" s="101"/>
      <c r="O80" s="6"/>
    </row>
    <row r="81" spans="1:19">
      <c r="A81" s="80"/>
      <c r="B81" s="8">
        <f t="shared" si="1"/>
        <v>1306</v>
      </c>
      <c r="C81" s="11">
        <v>65</v>
      </c>
      <c r="D81" s="11">
        <v>66</v>
      </c>
      <c r="E81" s="9">
        <v>67</v>
      </c>
      <c r="F81" s="168"/>
      <c r="G81" s="168"/>
      <c r="H81" s="168"/>
      <c r="I81" s="168"/>
      <c r="J81" s="168"/>
      <c r="K81" s="168"/>
      <c r="L81" s="102"/>
      <c r="O81" s="6"/>
    </row>
    <row r="82" spans="1:19">
      <c r="A82" s="106">
        <v>14</v>
      </c>
      <c r="B82" s="22">
        <f t="shared" si="1"/>
        <v>1401</v>
      </c>
      <c r="C82" s="9">
        <v>2</v>
      </c>
      <c r="D82" s="11">
        <v>3</v>
      </c>
      <c r="E82" s="9">
        <v>4</v>
      </c>
      <c r="F82" s="9">
        <v>1</v>
      </c>
      <c r="G82" s="9">
        <v>20</v>
      </c>
      <c r="H82" s="9">
        <v>21</v>
      </c>
      <c r="I82" s="9">
        <v>22</v>
      </c>
      <c r="J82" s="9">
        <v>23</v>
      </c>
      <c r="K82" s="9">
        <v>24</v>
      </c>
      <c r="L82" s="100" t="s">
        <v>18</v>
      </c>
      <c r="O82" s="6"/>
    </row>
    <row r="83" spans="1:19">
      <c r="A83" s="106"/>
      <c r="B83" s="8">
        <f t="shared" si="1"/>
        <v>1402</v>
      </c>
      <c r="C83" s="9">
        <v>5</v>
      </c>
      <c r="D83" s="11">
        <v>6</v>
      </c>
      <c r="E83" s="9">
        <v>7</v>
      </c>
      <c r="F83" s="81"/>
      <c r="G83" s="81"/>
      <c r="H83" s="81"/>
      <c r="I83" s="81"/>
      <c r="J83" s="81"/>
      <c r="K83" s="81"/>
      <c r="L83" s="101"/>
      <c r="O83" s="6"/>
    </row>
    <row r="84" spans="1:19">
      <c r="A84" s="106"/>
      <c r="B84" s="8">
        <f t="shared" si="1"/>
        <v>1403</v>
      </c>
      <c r="C84" s="11">
        <v>8</v>
      </c>
      <c r="D84" s="11">
        <v>9</v>
      </c>
      <c r="E84" s="9">
        <v>10</v>
      </c>
      <c r="F84" s="81"/>
      <c r="G84" s="81"/>
      <c r="H84" s="81"/>
      <c r="I84" s="81"/>
      <c r="J84" s="81"/>
      <c r="K84" s="81"/>
      <c r="L84" s="101"/>
      <c r="O84" s="6"/>
    </row>
    <row r="85" spans="1:19">
      <c r="A85" s="106"/>
      <c r="B85" s="8">
        <f t="shared" si="1"/>
        <v>1404</v>
      </c>
      <c r="C85" s="9">
        <v>11</v>
      </c>
      <c r="D85" s="11">
        <v>12</v>
      </c>
      <c r="E85" s="9">
        <v>13</v>
      </c>
      <c r="F85" s="81"/>
      <c r="G85" s="81"/>
      <c r="H85" s="81"/>
      <c r="I85" s="81"/>
      <c r="J85" s="81"/>
      <c r="K85" s="81"/>
      <c r="L85" s="101"/>
      <c r="O85" s="6"/>
    </row>
    <row r="86" spans="1:19">
      <c r="A86" s="106"/>
      <c r="B86" s="8">
        <f t="shared" si="1"/>
        <v>1405</v>
      </c>
      <c r="C86" s="11">
        <v>14</v>
      </c>
      <c r="D86" s="11">
        <v>15</v>
      </c>
      <c r="E86" s="9">
        <v>16</v>
      </c>
      <c r="F86" s="81"/>
      <c r="G86" s="81"/>
      <c r="H86" s="81"/>
      <c r="I86" s="81"/>
      <c r="J86" s="81"/>
      <c r="K86" s="81"/>
      <c r="L86" s="101"/>
    </row>
    <row r="87" spans="1:19">
      <c r="A87" s="99"/>
      <c r="B87" s="8">
        <f t="shared" si="1"/>
        <v>1406</v>
      </c>
      <c r="C87" s="9">
        <v>17</v>
      </c>
      <c r="D87" s="11">
        <v>18</v>
      </c>
      <c r="E87" s="9">
        <v>19</v>
      </c>
      <c r="F87" s="81"/>
      <c r="G87" s="81"/>
      <c r="H87" s="81"/>
      <c r="I87" s="81"/>
      <c r="J87" s="81"/>
      <c r="K87" s="81"/>
      <c r="L87" s="101"/>
    </row>
    <row r="88" spans="1:19">
      <c r="A88" s="98">
        <v>15</v>
      </c>
      <c r="B88" s="8">
        <f t="shared" si="1"/>
        <v>1501</v>
      </c>
      <c r="C88" s="9">
        <v>26</v>
      </c>
      <c r="D88" s="11">
        <v>27</v>
      </c>
      <c r="E88" s="9">
        <v>28</v>
      </c>
      <c r="F88" s="9">
        <v>25</v>
      </c>
      <c r="G88" s="9">
        <v>44</v>
      </c>
      <c r="H88" s="9">
        <v>45</v>
      </c>
      <c r="I88" s="9">
        <v>46</v>
      </c>
      <c r="J88" s="9">
        <v>47</v>
      </c>
      <c r="K88" s="9">
        <v>48</v>
      </c>
      <c r="L88" s="101"/>
      <c r="N88" s="6"/>
    </row>
    <row r="89" spans="1:19">
      <c r="A89" s="106"/>
      <c r="B89" s="8">
        <f t="shared" si="1"/>
        <v>1502</v>
      </c>
      <c r="C89" s="9">
        <v>29</v>
      </c>
      <c r="D89" s="9">
        <v>30</v>
      </c>
      <c r="E89" s="9">
        <v>31</v>
      </c>
      <c r="F89" s="81"/>
      <c r="G89" s="81"/>
      <c r="H89" s="81"/>
      <c r="I89" s="81"/>
      <c r="J89" s="81"/>
      <c r="K89" s="81"/>
      <c r="L89" s="101"/>
      <c r="N89" s="6"/>
    </row>
    <row r="90" spans="1:19">
      <c r="A90" s="106"/>
      <c r="B90" s="8">
        <f t="shared" si="1"/>
        <v>1503</v>
      </c>
      <c r="C90" s="9">
        <v>32</v>
      </c>
      <c r="D90" s="11">
        <v>33</v>
      </c>
      <c r="E90" s="9">
        <v>34</v>
      </c>
      <c r="F90" s="81"/>
      <c r="G90" s="81"/>
      <c r="H90" s="81"/>
      <c r="I90" s="81"/>
      <c r="J90" s="81"/>
      <c r="K90" s="81"/>
      <c r="L90" s="101"/>
      <c r="N90" s="6"/>
    </row>
    <row r="91" spans="1:19">
      <c r="A91" s="106"/>
      <c r="B91" s="8">
        <f t="shared" si="1"/>
        <v>1504</v>
      </c>
      <c r="C91" s="9">
        <v>35</v>
      </c>
      <c r="D91" s="9">
        <v>36</v>
      </c>
      <c r="E91" s="9">
        <v>37</v>
      </c>
      <c r="F91" s="81"/>
      <c r="G91" s="81"/>
      <c r="H91" s="81"/>
      <c r="I91" s="81"/>
      <c r="J91" s="81"/>
      <c r="K91" s="81"/>
      <c r="L91" s="101"/>
      <c r="N91" s="6"/>
    </row>
    <row r="92" spans="1:19">
      <c r="A92" s="106"/>
      <c r="B92" s="8">
        <f t="shared" si="1"/>
        <v>1505</v>
      </c>
      <c r="C92" s="9">
        <v>38</v>
      </c>
      <c r="D92" s="9">
        <v>39</v>
      </c>
      <c r="E92" s="9">
        <v>40</v>
      </c>
      <c r="F92" s="81"/>
      <c r="G92" s="81"/>
      <c r="H92" s="81"/>
      <c r="I92" s="81"/>
      <c r="J92" s="81"/>
      <c r="K92" s="81"/>
      <c r="L92" s="101"/>
      <c r="N92" s="6"/>
      <c r="S92" s="18"/>
    </row>
    <row r="93" spans="1:19">
      <c r="A93" s="99"/>
      <c r="B93" s="8">
        <f t="shared" si="1"/>
        <v>1506</v>
      </c>
      <c r="C93" s="9">
        <v>41</v>
      </c>
      <c r="D93" s="10">
        <v>42</v>
      </c>
      <c r="E93" s="9">
        <v>43</v>
      </c>
      <c r="F93" s="81"/>
      <c r="G93" s="81"/>
      <c r="H93" s="81"/>
      <c r="I93" s="81"/>
      <c r="J93" s="81"/>
      <c r="K93" s="81"/>
      <c r="L93" s="101"/>
      <c r="N93" s="6"/>
    </row>
    <row r="94" spans="1:19">
      <c r="A94" s="98">
        <v>16</v>
      </c>
      <c r="B94" s="8">
        <f t="shared" si="1"/>
        <v>1601</v>
      </c>
      <c r="C94" s="9">
        <v>50</v>
      </c>
      <c r="D94" s="11">
        <v>51</v>
      </c>
      <c r="E94" s="9">
        <v>52</v>
      </c>
      <c r="F94" s="9">
        <v>49</v>
      </c>
      <c r="G94" s="9">
        <v>68</v>
      </c>
      <c r="H94" s="76">
        <v>69</v>
      </c>
      <c r="I94" s="9">
        <v>70</v>
      </c>
      <c r="J94" s="9">
        <v>71</v>
      </c>
      <c r="K94" s="9">
        <v>72</v>
      </c>
      <c r="L94" s="101"/>
      <c r="N94" s="6"/>
    </row>
    <row r="95" spans="1:19">
      <c r="A95" s="106"/>
      <c r="B95" s="8">
        <f t="shared" si="1"/>
        <v>1602</v>
      </c>
      <c r="C95" s="9">
        <v>53</v>
      </c>
      <c r="D95" s="9">
        <v>54</v>
      </c>
      <c r="E95" s="9">
        <v>55</v>
      </c>
      <c r="F95" s="168"/>
      <c r="G95" s="168"/>
      <c r="H95" s="168"/>
      <c r="I95" s="168"/>
      <c r="J95" s="168"/>
      <c r="K95" s="168"/>
      <c r="L95" s="101"/>
      <c r="N95" s="6"/>
    </row>
    <row r="96" spans="1:19">
      <c r="A96" s="106"/>
      <c r="B96" s="8">
        <f t="shared" si="1"/>
        <v>1603</v>
      </c>
      <c r="C96" s="9">
        <v>56</v>
      </c>
      <c r="D96" s="9">
        <v>57</v>
      </c>
      <c r="E96" s="9">
        <v>58</v>
      </c>
      <c r="F96" s="168"/>
      <c r="G96" s="168"/>
      <c r="H96" s="168"/>
      <c r="I96" s="168"/>
      <c r="J96" s="168"/>
      <c r="K96" s="168"/>
      <c r="L96" s="101"/>
      <c r="N96" s="6"/>
    </row>
    <row r="97" spans="1:15">
      <c r="A97" s="106"/>
      <c r="B97" s="8">
        <f t="shared" si="1"/>
        <v>1604</v>
      </c>
      <c r="C97" s="11">
        <v>59</v>
      </c>
      <c r="D97" s="9">
        <v>60</v>
      </c>
      <c r="E97" s="11">
        <v>61</v>
      </c>
      <c r="F97" s="168"/>
      <c r="G97" s="168"/>
      <c r="H97" s="168"/>
      <c r="I97" s="168"/>
      <c r="J97" s="168"/>
      <c r="K97" s="168"/>
      <c r="L97" s="101"/>
      <c r="N97" s="6"/>
    </row>
    <row r="98" spans="1:15">
      <c r="A98" s="106"/>
      <c r="B98" s="8">
        <f t="shared" si="1"/>
        <v>1605</v>
      </c>
      <c r="C98" s="9">
        <v>62</v>
      </c>
      <c r="D98" s="10">
        <v>63</v>
      </c>
      <c r="E98" s="9">
        <v>64</v>
      </c>
      <c r="F98" s="168"/>
      <c r="G98" s="168"/>
      <c r="H98" s="168"/>
      <c r="I98" s="168"/>
      <c r="J98" s="168"/>
      <c r="K98" s="168"/>
      <c r="L98" s="101"/>
      <c r="N98" s="6"/>
      <c r="O98" s="6"/>
    </row>
    <row r="99" spans="1:15">
      <c r="A99" s="99"/>
      <c r="B99" s="8">
        <f t="shared" si="1"/>
        <v>1606</v>
      </c>
      <c r="C99" s="11">
        <v>65</v>
      </c>
      <c r="D99" s="11">
        <v>66</v>
      </c>
      <c r="E99" s="9">
        <v>67</v>
      </c>
      <c r="F99" s="168"/>
      <c r="G99" s="168"/>
      <c r="H99" s="168"/>
      <c r="I99" s="168"/>
      <c r="J99" s="168"/>
      <c r="K99" s="168"/>
      <c r="L99" s="102"/>
      <c r="N99" s="6"/>
      <c r="O99" s="6"/>
    </row>
    <row r="100" spans="1:15">
      <c r="A100" s="98">
        <v>17</v>
      </c>
      <c r="B100" s="8">
        <f t="shared" si="1"/>
        <v>1701</v>
      </c>
      <c r="C100" s="9">
        <v>2</v>
      </c>
      <c r="D100" s="11">
        <v>3</v>
      </c>
      <c r="E100" s="9">
        <v>4</v>
      </c>
      <c r="F100" s="76">
        <v>1</v>
      </c>
      <c r="G100" s="9">
        <v>20</v>
      </c>
      <c r="H100" s="9">
        <v>21</v>
      </c>
      <c r="I100" s="9">
        <v>22</v>
      </c>
      <c r="J100" s="9">
        <v>23</v>
      </c>
      <c r="K100" s="9">
        <v>24</v>
      </c>
      <c r="L100" s="91" t="s">
        <v>20</v>
      </c>
      <c r="O100" s="6"/>
    </row>
    <row r="101" spans="1:15">
      <c r="A101" s="106"/>
      <c r="B101" s="8">
        <f t="shared" si="1"/>
        <v>1702</v>
      </c>
      <c r="C101" s="9">
        <v>5</v>
      </c>
      <c r="D101" s="9">
        <v>6</v>
      </c>
      <c r="E101" s="9">
        <v>7</v>
      </c>
      <c r="F101" s="81"/>
      <c r="G101" s="81"/>
      <c r="H101" s="81"/>
      <c r="I101" s="81"/>
      <c r="J101" s="81"/>
      <c r="K101" s="81"/>
      <c r="L101" s="91"/>
      <c r="O101" s="6"/>
    </row>
    <row r="102" spans="1:15">
      <c r="A102" s="106"/>
      <c r="B102" s="8">
        <f t="shared" si="1"/>
        <v>1703</v>
      </c>
      <c r="C102" s="11">
        <v>8</v>
      </c>
      <c r="D102" s="9">
        <v>9</v>
      </c>
      <c r="E102" s="9">
        <v>10</v>
      </c>
      <c r="F102" s="81"/>
      <c r="G102" s="81"/>
      <c r="H102" s="81"/>
      <c r="I102" s="81"/>
      <c r="J102" s="81"/>
      <c r="K102" s="81"/>
      <c r="L102" s="91"/>
      <c r="O102" s="6"/>
    </row>
    <row r="103" spans="1:15">
      <c r="A103" s="106"/>
      <c r="B103" s="8">
        <f t="shared" si="1"/>
        <v>1704</v>
      </c>
      <c r="C103" s="9">
        <v>11</v>
      </c>
      <c r="D103" s="9">
        <v>12</v>
      </c>
      <c r="E103" s="9">
        <v>13</v>
      </c>
      <c r="F103" s="81"/>
      <c r="G103" s="81"/>
      <c r="H103" s="81"/>
      <c r="I103" s="81"/>
      <c r="J103" s="81"/>
      <c r="K103" s="81"/>
      <c r="L103" s="91"/>
      <c r="O103" s="6"/>
    </row>
    <row r="104" spans="1:15">
      <c r="A104" s="106"/>
      <c r="B104" s="8">
        <f t="shared" si="1"/>
        <v>1705</v>
      </c>
      <c r="C104" s="9">
        <v>14</v>
      </c>
      <c r="D104" s="9">
        <v>15</v>
      </c>
      <c r="E104" s="9">
        <v>16</v>
      </c>
      <c r="F104" s="81"/>
      <c r="G104" s="81"/>
      <c r="H104" s="81"/>
      <c r="I104" s="81"/>
      <c r="J104" s="81"/>
      <c r="K104" s="81"/>
      <c r="L104" s="91"/>
    </row>
    <row r="105" spans="1:15">
      <c r="A105" s="99"/>
      <c r="B105" s="8">
        <f t="shared" si="1"/>
        <v>1706</v>
      </c>
      <c r="C105" s="9">
        <v>17</v>
      </c>
      <c r="D105" s="9">
        <v>18</v>
      </c>
      <c r="E105" s="9">
        <v>19</v>
      </c>
      <c r="F105" s="81"/>
      <c r="G105" s="81"/>
      <c r="H105" s="81"/>
      <c r="I105" s="81"/>
      <c r="J105" s="81"/>
      <c r="K105" s="81"/>
      <c r="L105" s="91"/>
    </row>
    <row r="106" spans="1:15">
      <c r="A106" s="178">
        <v>18</v>
      </c>
      <c r="B106" s="8">
        <f t="shared" si="1"/>
        <v>1801</v>
      </c>
      <c r="C106" s="9">
        <v>26</v>
      </c>
      <c r="D106" s="9">
        <v>27</v>
      </c>
      <c r="E106" s="9">
        <v>28</v>
      </c>
      <c r="F106" s="9">
        <v>25</v>
      </c>
      <c r="G106" s="9">
        <v>44</v>
      </c>
      <c r="H106" s="10">
        <v>45</v>
      </c>
      <c r="I106" s="9">
        <v>46</v>
      </c>
      <c r="J106" s="9">
        <v>47</v>
      </c>
      <c r="K106" s="9">
        <v>48</v>
      </c>
      <c r="L106" s="91"/>
    </row>
    <row r="107" spans="1:15">
      <c r="A107" s="179"/>
      <c r="B107" s="8">
        <f t="shared" si="1"/>
        <v>1802</v>
      </c>
      <c r="C107" s="9">
        <v>29</v>
      </c>
      <c r="D107" s="9">
        <v>30</v>
      </c>
      <c r="E107" s="9">
        <v>31</v>
      </c>
      <c r="F107" s="81"/>
      <c r="G107" s="81"/>
      <c r="H107" s="81"/>
      <c r="I107" s="81"/>
      <c r="J107" s="81"/>
      <c r="K107" s="81"/>
      <c r="L107" s="91"/>
    </row>
    <row r="108" spans="1:15">
      <c r="A108" s="179"/>
      <c r="B108" s="8">
        <f t="shared" si="1"/>
        <v>1803</v>
      </c>
      <c r="C108" s="9">
        <v>32</v>
      </c>
      <c r="D108" s="9">
        <v>33</v>
      </c>
      <c r="E108" s="9">
        <v>34</v>
      </c>
      <c r="F108" s="81"/>
      <c r="G108" s="81"/>
      <c r="H108" s="81"/>
      <c r="I108" s="81"/>
      <c r="J108" s="81"/>
      <c r="K108" s="81"/>
      <c r="L108" s="91"/>
    </row>
    <row r="109" spans="1:15">
      <c r="A109" s="179"/>
      <c r="B109" s="8">
        <f t="shared" si="1"/>
        <v>1804</v>
      </c>
      <c r="C109" s="9">
        <v>35</v>
      </c>
      <c r="D109" s="9">
        <v>36</v>
      </c>
      <c r="E109" s="9">
        <v>37</v>
      </c>
      <c r="F109" s="81"/>
      <c r="G109" s="81"/>
      <c r="H109" s="81"/>
      <c r="I109" s="81"/>
      <c r="J109" s="81"/>
      <c r="K109" s="81"/>
      <c r="L109" s="91"/>
    </row>
    <row r="110" spans="1:15">
      <c r="A110" s="179"/>
      <c r="B110" s="8">
        <f t="shared" si="1"/>
        <v>1805</v>
      </c>
      <c r="C110" s="11">
        <v>38</v>
      </c>
      <c r="D110" s="9">
        <v>39</v>
      </c>
      <c r="E110" s="9">
        <v>40</v>
      </c>
      <c r="F110" s="81"/>
      <c r="G110" s="81"/>
      <c r="H110" s="81"/>
      <c r="I110" s="81"/>
      <c r="J110" s="81"/>
      <c r="K110" s="81"/>
      <c r="L110" s="91"/>
    </row>
    <row r="111" spans="1:15">
      <c r="A111" s="180"/>
      <c r="B111" s="8">
        <f t="shared" si="1"/>
        <v>1806</v>
      </c>
      <c r="C111" s="9">
        <v>41</v>
      </c>
      <c r="D111" s="10">
        <v>42</v>
      </c>
      <c r="E111" s="9">
        <v>43</v>
      </c>
      <c r="F111" s="81"/>
      <c r="G111" s="81"/>
      <c r="H111" s="81"/>
      <c r="I111" s="81"/>
      <c r="J111" s="81"/>
      <c r="K111" s="81"/>
      <c r="L111" s="91"/>
    </row>
    <row r="112" spans="1:15">
      <c r="A112" s="178">
        <v>19</v>
      </c>
      <c r="B112" s="8">
        <f t="shared" si="1"/>
        <v>1901</v>
      </c>
      <c r="C112" s="9">
        <v>50</v>
      </c>
      <c r="D112" s="9">
        <v>51</v>
      </c>
      <c r="E112" s="9">
        <v>52</v>
      </c>
      <c r="F112" s="9">
        <v>49</v>
      </c>
      <c r="G112" s="9">
        <v>68</v>
      </c>
      <c r="H112" s="9">
        <v>69</v>
      </c>
      <c r="I112" s="9">
        <v>70</v>
      </c>
      <c r="J112" s="9">
        <v>71</v>
      </c>
      <c r="K112" s="9">
        <v>72</v>
      </c>
      <c r="L112" s="91"/>
    </row>
    <row r="113" spans="1:12">
      <c r="A113" s="179"/>
      <c r="B113" s="8">
        <f t="shared" si="1"/>
        <v>1902</v>
      </c>
      <c r="C113" s="11">
        <v>53</v>
      </c>
      <c r="D113" s="11">
        <v>54</v>
      </c>
      <c r="E113" s="9">
        <v>55</v>
      </c>
      <c r="F113" s="168"/>
      <c r="G113" s="168"/>
      <c r="H113" s="168"/>
      <c r="I113" s="168"/>
      <c r="J113" s="168"/>
      <c r="K113" s="168"/>
      <c r="L113" s="91"/>
    </row>
    <row r="114" spans="1:12">
      <c r="A114" s="179"/>
      <c r="B114" s="8">
        <f t="shared" si="1"/>
        <v>1903</v>
      </c>
      <c r="C114" s="9">
        <v>56</v>
      </c>
      <c r="D114" s="9">
        <v>57</v>
      </c>
      <c r="E114" s="10">
        <v>58</v>
      </c>
      <c r="F114" s="168"/>
      <c r="G114" s="168"/>
      <c r="H114" s="168"/>
      <c r="I114" s="168"/>
      <c r="J114" s="168"/>
      <c r="K114" s="168"/>
      <c r="L114" s="91"/>
    </row>
    <row r="115" spans="1:12">
      <c r="A115" s="179"/>
      <c r="B115" s="8">
        <f t="shared" si="1"/>
        <v>1904</v>
      </c>
      <c r="C115" s="9">
        <v>59</v>
      </c>
      <c r="D115" s="9">
        <v>60</v>
      </c>
      <c r="E115" s="9">
        <v>61</v>
      </c>
      <c r="F115" s="168"/>
      <c r="G115" s="168"/>
      <c r="H115" s="168"/>
      <c r="I115" s="168"/>
      <c r="J115" s="168"/>
      <c r="K115" s="168"/>
      <c r="L115" s="91"/>
    </row>
    <row r="116" spans="1:12">
      <c r="A116" s="179"/>
      <c r="B116" s="8">
        <f t="shared" si="1"/>
        <v>1905</v>
      </c>
      <c r="C116" s="9">
        <v>62</v>
      </c>
      <c r="D116" s="9">
        <v>63</v>
      </c>
      <c r="E116" s="9">
        <v>64</v>
      </c>
      <c r="F116" s="168"/>
      <c r="G116" s="168"/>
      <c r="H116" s="168"/>
      <c r="I116" s="168"/>
      <c r="J116" s="168"/>
      <c r="K116" s="168"/>
      <c r="L116" s="91"/>
    </row>
    <row r="117" spans="1:12">
      <c r="A117" s="180"/>
      <c r="B117" s="8">
        <f t="shared" si="1"/>
        <v>1906</v>
      </c>
      <c r="C117" s="9">
        <v>65</v>
      </c>
      <c r="D117" s="9">
        <v>66</v>
      </c>
      <c r="E117" s="9">
        <v>67</v>
      </c>
      <c r="F117" s="168"/>
      <c r="G117" s="168"/>
      <c r="H117" s="168"/>
      <c r="I117" s="168"/>
      <c r="J117" s="168"/>
      <c r="K117" s="168"/>
      <c r="L117" s="91"/>
    </row>
    <row r="118" spans="1:12">
      <c r="A118" s="178">
        <v>20</v>
      </c>
      <c r="B118" s="8">
        <f t="shared" si="1"/>
        <v>2001</v>
      </c>
      <c r="C118" s="9">
        <v>2</v>
      </c>
      <c r="D118" s="11">
        <v>3</v>
      </c>
      <c r="E118" s="9">
        <v>4</v>
      </c>
      <c r="F118" s="9">
        <v>1</v>
      </c>
      <c r="G118" s="9">
        <v>20</v>
      </c>
      <c r="H118" s="9">
        <v>21</v>
      </c>
      <c r="I118" s="9">
        <v>22</v>
      </c>
      <c r="J118" s="9">
        <v>23</v>
      </c>
      <c r="K118" s="9">
        <v>24</v>
      </c>
      <c r="L118" s="91" t="s">
        <v>21</v>
      </c>
    </row>
    <row r="119" spans="1:12">
      <c r="A119" s="179"/>
      <c r="B119" s="8">
        <f t="shared" si="1"/>
        <v>2002</v>
      </c>
      <c r="C119" s="9">
        <v>5</v>
      </c>
      <c r="D119" s="9">
        <v>6</v>
      </c>
      <c r="E119" s="10">
        <v>7</v>
      </c>
      <c r="F119" s="81"/>
      <c r="G119" s="81"/>
      <c r="H119" s="81"/>
      <c r="I119" s="81"/>
      <c r="J119" s="81"/>
      <c r="K119" s="81"/>
      <c r="L119" s="91"/>
    </row>
    <row r="120" spans="1:12">
      <c r="A120" s="179"/>
      <c r="B120" s="8">
        <f t="shared" si="1"/>
        <v>2003</v>
      </c>
      <c r="C120" s="9">
        <v>8</v>
      </c>
      <c r="D120" s="9">
        <v>9</v>
      </c>
      <c r="E120" s="9">
        <v>10</v>
      </c>
      <c r="F120" s="81"/>
      <c r="G120" s="81"/>
      <c r="H120" s="81"/>
      <c r="I120" s="81"/>
      <c r="J120" s="81"/>
      <c r="K120" s="81"/>
      <c r="L120" s="91"/>
    </row>
    <row r="121" spans="1:12">
      <c r="A121" s="179"/>
      <c r="B121" s="8">
        <f t="shared" si="1"/>
        <v>2004</v>
      </c>
      <c r="C121" s="9">
        <v>11</v>
      </c>
      <c r="D121" s="9">
        <v>12</v>
      </c>
      <c r="E121" s="11">
        <v>13</v>
      </c>
      <c r="F121" s="81"/>
      <c r="G121" s="81"/>
      <c r="H121" s="81"/>
      <c r="I121" s="81"/>
      <c r="J121" s="81"/>
      <c r="K121" s="81"/>
      <c r="L121" s="91"/>
    </row>
    <row r="122" spans="1:12">
      <c r="A122" s="179"/>
      <c r="B122" s="8">
        <f t="shared" si="1"/>
        <v>2005</v>
      </c>
      <c r="C122" s="9">
        <v>14</v>
      </c>
      <c r="D122" s="9">
        <v>15</v>
      </c>
      <c r="E122" s="9">
        <v>16</v>
      </c>
      <c r="F122" s="81"/>
      <c r="G122" s="81"/>
      <c r="H122" s="81"/>
      <c r="I122" s="81"/>
      <c r="J122" s="81"/>
      <c r="K122" s="81"/>
      <c r="L122" s="91"/>
    </row>
    <row r="123" spans="1:12">
      <c r="A123" s="180"/>
      <c r="B123" s="8">
        <f t="shared" si="1"/>
        <v>2006</v>
      </c>
      <c r="C123" s="9">
        <v>17</v>
      </c>
      <c r="D123" s="11">
        <v>18</v>
      </c>
      <c r="E123" s="9">
        <v>19</v>
      </c>
      <c r="F123" s="81"/>
      <c r="G123" s="81"/>
      <c r="H123" s="81"/>
      <c r="I123" s="81"/>
      <c r="J123" s="81"/>
      <c r="K123" s="81"/>
      <c r="L123" s="91"/>
    </row>
    <row r="124" spans="1:12">
      <c r="A124" s="178">
        <v>21</v>
      </c>
      <c r="B124" s="8">
        <f t="shared" si="1"/>
        <v>2101</v>
      </c>
      <c r="C124" s="9">
        <v>26</v>
      </c>
      <c r="D124" s="9">
        <v>27</v>
      </c>
      <c r="E124" s="9">
        <v>28</v>
      </c>
      <c r="F124" s="10">
        <v>25</v>
      </c>
      <c r="G124" s="9">
        <v>44</v>
      </c>
      <c r="H124" s="9">
        <v>45</v>
      </c>
      <c r="I124" s="9">
        <v>46</v>
      </c>
      <c r="J124" s="9">
        <v>47</v>
      </c>
      <c r="K124" s="9">
        <v>48</v>
      </c>
      <c r="L124" s="91"/>
    </row>
    <row r="125" spans="1:12">
      <c r="A125" s="179"/>
      <c r="B125" s="8">
        <f t="shared" si="1"/>
        <v>2102</v>
      </c>
      <c r="C125" s="11">
        <v>29</v>
      </c>
      <c r="D125" s="9">
        <v>30</v>
      </c>
      <c r="E125" s="9">
        <v>31</v>
      </c>
      <c r="F125" s="81"/>
      <c r="G125" s="81"/>
      <c r="H125" s="81"/>
      <c r="I125" s="81"/>
      <c r="J125" s="81"/>
      <c r="K125" s="81"/>
      <c r="L125" s="91"/>
    </row>
    <row r="126" spans="1:12">
      <c r="A126" s="179"/>
      <c r="B126" s="8">
        <f t="shared" si="1"/>
        <v>2103</v>
      </c>
      <c r="C126" s="9">
        <v>32</v>
      </c>
      <c r="D126" s="11">
        <v>33</v>
      </c>
      <c r="E126" s="11">
        <v>34</v>
      </c>
      <c r="F126" s="81"/>
      <c r="G126" s="81"/>
      <c r="H126" s="81"/>
      <c r="I126" s="81"/>
      <c r="J126" s="81"/>
      <c r="K126" s="81"/>
      <c r="L126" s="91"/>
    </row>
    <row r="127" spans="1:12">
      <c r="A127" s="179"/>
      <c r="B127" s="8">
        <f t="shared" si="1"/>
        <v>2104</v>
      </c>
      <c r="C127" s="11">
        <v>35</v>
      </c>
      <c r="D127" s="11">
        <v>36</v>
      </c>
      <c r="E127" s="9">
        <v>37</v>
      </c>
      <c r="F127" s="81"/>
      <c r="G127" s="81"/>
      <c r="H127" s="81"/>
      <c r="I127" s="81"/>
      <c r="J127" s="81"/>
      <c r="K127" s="81"/>
      <c r="L127" s="91"/>
    </row>
    <row r="128" spans="1:12">
      <c r="A128" s="179"/>
      <c r="B128" s="8">
        <f t="shared" si="1"/>
        <v>2105</v>
      </c>
      <c r="C128" s="9">
        <v>38</v>
      </c>
      <c r="D128" s="9">
        <v>39</v>
      </c>
      <c r="E128" s="11">
        <v>40</v>
      </c>
      <c r="F128" s="81"/>
      <c r="G128" s="81"/>
      <c r="H128" s="81"/>
      <c r="I128" s="81"/>
      <c r="J128" s="81"/>
      <c r="K128" s="81"/>
      <c r="L128" s="91"/>
    </row>
    <row r="129" spans="1:12">
      <c r="A129" s="180"/>
      <c r="B129" s="8">
        <f t="shared" si="1"/>
        <v>2106</v>
      </c>
      <c r="C129" s="9">
        <v>41</v>
      </c>
      <c r="D129" s="9">
        <v>42</v>
      </c>
      <c r="E129" s="9">
        <v>43</v>
      </c>
      <c r="F129" s="81"/>
      <c r="G129" s="81"/>
      <c r="H129" s="81"/>
      <c r="I129" s="81"/>
      <c r="J129" s="81"/>
      <c r="K129" s="81"/>
      <c r="L129" s="91"/>
    </row>
    <row r="130" spans="1:12">
      <c r="A130" s="178">
        <v>22</v>
      </c>
      <c r="B130" s="8">
        <f t="shared" si="1"/>
        <v>2201</v>
      </c>
      <c r="C130" s="9">
        <v>50</v>
      </c>
      <c r="D130" s="9">
        <v>51</v>
      </c>
      <c r="E130" s="9">
        <v>52</v>
      </c>
      <c r="F130" s="9">
        <v>49</v>
      </c>
      <c r="G130" s="9">
        <v>68</v>
      </c>
      <c r="H130" s="9">
        <v>69</v>
      </c>
      <c r="I130" s="9">
        <v>70</v>
      </c>
      <c r="J130" s="9">
        <v>71</v>
      </c>
      <c r="K130" s="9">
        <v>72</v>
      </c>
      <c r="L130" s="91"/>
    </row>
    <row r="131" spans="1:12">
      <c r="A131" s="179"/>
      <c r="B131" s="8">
        <f t="shared" si="1"/>
        <v>2202</v>
      </c>
      <c r="C131" s="9">
        <v>53</v>
      </c>
      <c r="D131" s="11">
        <v>54</v>
      </c>
      <c r="E131" s="9">
        <v>55</v>
      </c>
      <c r="F131" s="168"/>
      <c r="G131" s="168"/>
      <c r="H131" s="168"/>
      <c r="I131" s="168"/>
      <c r="J131" s="168"/>
      <c r="K131" s="168"/>
      <c r="L131" s="91"/>
    </row>
    <row r="132" spans="1:12">
      <c r="A132" s="179"/>
      <c r="B132" s="8">
        <f t="shared" si="1"/>
        <v>2203</v>
      </c>
      <c r="C132" s="9">
        <v>56</v>
      </c>
      <c r="D132" s="9">
        <v>57</v>
      </c>
      <c r="E132" s="9">
        <v>58</v>
      </c>
      <c r="F132" s="168"/>
      <c r="G132" s="168"/>
      <c r="H132" s="168"/>
      <c r="I132" s="168"/>
      <c r="J132" s="168"/>
      <c r="K132" s="168"/>
      <c r="L132" s="91"/>
    </row>
    <row r="133" spans="1:12">
      <c r="A133" s="179"/>
      <c r="B133" s="8">
        <f t="shared" ref="B133:B153" si="2">(INT((ROW()-4)/6)+1)*100 + MOD(ROW()-4,6)+1</f>
        <v>2204</v>
      </c>
      <c r="C133" s="9">
        <v>59</v>
      </c>
      <c r="D133" s="9">
        <v>60</v>
      </c>
      <c r="E133" s="11">
        <v>61</v>
      </c>
      <c r="F133" s="168"/>
      <c r="G133" s="168"/>
      <c r="H133" s="168"/>
      <c r="I133" s="168"/>
      <c r="J133" s="168"/>
      <c r="K133" s="168"/>
      <c r="L133" s="91"/>
    </row>
    <row r="134" spans="1:12">
      <c r="A134" s="179"/>
      <c r="B134" s="8">
        <f t="shared" si="2"/>
        <v>2205</v>
      </c>
      <c r="C134" s="9">
        <v>62</v>
      </c>
      <c r="D134" s="11">
        <v>63</v>
      </c>
      <c r="E134" s="9">
        <v>64</v>
      </c>
      <c r="F134" s="168"/>
      <c r="G134" s="168"/>
      <c r="H134" s="168"/>
      <c r="I134" s="168"/>
      <c r="J134" s="168"/>
      <c r="K134" s="168"/>
      <c r="L134" s="91"/>
    </row>
    <row r="135" spans="1:12">
      <c r="A135" s="180"/>
      <c r="B135" s="8">
        <f t="shared" si="2"/>
        <v>2206</v>
      </c>
      <c r="C135" s="9">
        <v>65</v>
      </c>
      <c r="D135" s="9">
        <v>66</v>
      </c>
      <c r="E135" s="9">
        <v>67</v>
      </c>
      <c r="F135" s="168"/>
      <c r="G135" s="168"/>
      <c r="H135" s="168"/>
      <c r="I135" s="168"/>
      <c r="J135" s="168"/>
      <c r="K135" s="168"/>
      <c r="L135" s="91"/>
    </row>
    <row r="136" spans="1:12">
      <c r="A136" s="178">
        <v>23</v>
      </c>
      <c r="B136" s="8">
        <f t="shared" si="2"/>
        <v>2301</v>
      </c>
      <c r="C136" s="9">
        <v>2</v>
      </c>
      <c r="D136" s="9">
        <v>3</v>
      </c>
      <c r="E136" s="9">
        <v>4</v>
      </c>
      <c r="F136" s="9">
        <v>1</v>
      </c>
      <c r="G136" s="10">
        <v>20</v>
      </c>
      <c r="H136" s="9">
        <v>21</v>
      </c>
      <c r="I136" s="9">
        <v>22</v>
      </c>
      <c r="J136" s="9">
        <v>23</v>
      </c>
      <c r="K136" s="9">
        <v>24</v>
      </c>
      <c r="L136" s="100" t="s">
        <v>22</v>
      </c>
    </row>
    <row r="137" spans="1:12">
      <c r="A137" s="179"/>
      <c r="B137" s="8">
        <f t="shared" si="2"/>
        <v>2302</v>
      </c>
      <c r="C137" s="9">
        <v>5</v>
      </c>
      <c r="D137" s="9">
        <v>6</v>
      </c>
      <c r="E137" s="9">
        <v>7</v>
      </c>
      <c r="F137" s="81"/>
      <c r="G137" s="81"/>
      <c r="H137" s="81"/>
      <c r="I137" s="81"/>
      <c r="J137" s="81"/>
      <c r="K137" s="81"/>
      <c r="L137" s="101"/>
    </row>
    <row r="138" spans="1:12">
      <c r="A138" s="179"/>
      <c r="B138" s="8">
        <f t="shared" si="2"/>
        <v>2303</v>
      </c>
      <c r="C138" s="9">
        <v>8</v>
      </c>
      <c r="D138" s="9">
        <v>9</v>
      </c>
      <c r="E138" s="9">
        <v>10</v>
      </c>
      <c r="F138" s="81"/>
      <c r="G138" s="81"/>
      <c r="H138" s="81"/>
      <c r="I138" s="81"/>
      <c r="J138" s="81"/>
      <c r="K138" s="81"/>
      <c r="L138" s="101"/>
    </row>
    <row r="139" spans="1:12">
      <c r="A139" s="179"/>
      <c r="B139" s="8">
        <f t="shared" si="2"/>
        <v>2304</v>
      </c>
      <c r="C139" s="9">
        <v>11</v>
      </c>
      <c r="D139" s="9">
        <v>12</v>
      </c>
      <c r="E139" s="9">
        <v>13</v>
      </c>
      <c r="F139" s="81"/>
      <c r="G139" s="81"/>
      <c r="H139" s="81"/>
      <c r="I139" s="81"/>
      <c r="J139" s="81"/>
      <c r="K139" s="81"/>
      <c r="L139" s="101"/>
    </row>
    <row r="140" spans="1:12">
      <c r="A140" s="179"/>
      <c r="B140" s="8">
        <f t="shared" si="2"/>
        <v>2305</v>
      </c>
      <c r="C140" s="9">
        <v>14</v>
      </c>
      <c r="D140" s="10">
        <v>15</v>
      </c>
      <c r="E140" s="9">
        <v>16</v>
      </c>
      <c r="F140" s="81"/>
      <c r="G140" s="81"/>
      <c r="H140" s="81"/>
      <c r="I140" s="81"/>
      <c r="J140" s="81"/>
      <c r="K140" s="81"/>
      <c r="L140" s="101"/>
    </row>
    <row r="141" spans="1:12">
      <c r="A141" s="180"/>
      <c r="B141" s="8">
        <f t="shared" si="2"/>
        <v>2306</v>
      </c>
      <c r="C141" s="9">
        <v>17</v>
      </c>
      <c r="D141" s="11">
        <v>18</v>
      </c>
      <c r="E141" s="9">
        <v>19</v>
      </c>
      <c r="F141" s="81"/>
      <c r="G141" s="81"/>
      <c r="H141" s="81"/>
      <c r="I141" s="81"/>
      <c r="J141" s="81"/>
      <c r="K141" s="81"/>
      <c r="L141" s="101"/>
    </row>
    <row r="142" spans="1:12">
      <c r="A142" s="178">
        <v>24</v>
      </c>
      <c r="B142" s="8">
        <f t="shared" si="2"/>
        <v>2401</v>
      </c>
      <c r="C142" s="9">
        <v>26</v>
      </c>
      <c r="D142" s="9">
        <v>27</v>
      </c>
      <c r="E142" s="9">
        <v>28</v>
      </c>
      <c r="F142" s="9">
        <v>25</v>
      </c>
      <c r="G142" s="9">
        <v>44</v>
      </c>
      <c r="H142" s="9">
        <v>45</v>
      </c>
      <c r="I142" s="9">
        <v>46</v>
      </c>
      <c r="J142" s="9">
        <v>47</v>
      </c>
      <c r="K142" s="9">
        <v>48</v>
      </c>
      <c r="L142" s="101"/>
    </row>
    <row r="143" spans="1:12">
      <c r="A143" s="179"/>
      <c r="B143" s="8">
        <f t="shared" si="2"/>
        <v>2402</v>
      </c>
      <c r="C143" s="9">
        <v>29</v>
      </c>
      <c r="D143" s="9">
        <v>30</v>
      </c>
      <c r="E143" s="9">
        <v>31</v>
      </c>
      <c r="F143" s="81"/>
      <c r="G143" s="81"/>
      <c r="H143" s="81"/>
      <c r="I143" s="81"/>
      <c r="J143" s="81"/>
      <c r="K143" s="81"/>
      <c r="L143" s="101"/>
    </row>
    <row r="144" spans="1:12">
      <c r="A144" s="179"/>
      <c r="B144" s="8">
        <f t="shared" si="2"/>
        <v>2403</v>
      </c>
      <c r="C144" s="9">
        <v>32</v>
      </c>
      <c r="D144" s="9">
        <v>33</v>
      </c>
      <c r="E144" s="9">
        <v>34</v>
      </c>
      <c r="F144" s="81"/>
      <c r="G144" s="81"/>
      <c r="H144" s="81"/>
      <c r="I144" s="81"/>
      <c r="J144" s="81"/>
      <c r="K144" s="81"/>
      <c r="L144" s="101"/>
    </row>
    <row r="145" spans="1:12">
      <c r="A145" s="179"/>
      <c r="B145" s="8">
        <f t="shared" si="2"/>
        <v>2404</v>
      </c>
      <c r="C145" s="9">
        <v>35</v>
      </c>
      <c r="D145" s="9">
        <v>36</v>
      </c>
      <c r="E145" s="9">
        <v>37</v>
      </c>
      <c r="F145" s="81"/>
      <c r="G145" s="81"/>
      <c r="H145" s="81"/>
      <c r="I145" s="81"/>
      <c r="J145" s="81"/>
      <c r="K145" s="81"/>
      <c r="L145" s="101"/>
    </row>
    <row r="146" spans="1:12">
      <c r="A146" s="179"/>
      <c r="B146" s="8">
        <f t="shared" si="2"/>
        <v>2405</v>
      </c>
      <c r="C146" s="9">
        <v>38</v>
      </c>
      <c r="D146" s="11">
        <v>39</v>
      </c>
      <c r="E146" s="9">
        <v>40</v>
      </c>
      <c r="F146" s="81"/>
      <c r="G146" s="81"/>
      <c r="H146" s="81"/>
      <c r="I146" s="81"/>
      <c r="J146" s="81"/>
      <c r="K146" s="81"/>
      <c r="L146" s="101"/>
    </row>
    <row r="147" spans="1:12">
      <c r="A147" s="180"/>
      <c r="B147" s="8">
        <f t="shared" si="2"/>
        <v>2406</v>
      </c>
      <c r="C147" s="9">
        <v>41</v>
      </c>
      <c r="D147" s="9">
        <v>42</v>
      </c>
      <c r="E147" s="9">
        <v>43</v>
      </c>
      <c r="F147" s="81"/>
      <c r="G147" s="81"/>
      <c r="H147" s="81"/>
      <c r="I147" s="81"/>
      <c r="J147" s="81"/>
      <c r="K147" s="81"/>
      <c r="L147" s="101"/>
    </row>
    <row r="148" spans="1:12">
      <c r="A148" s="178">
        <v>25</v>
      </c>
      <c r="B148" s="8">
        <f t="shared" si="2"/>
        <v>2501</v>
      </c>
      <c r="C148" s="9">
        <v>50</v>
      </c>
      <c r="D148" s="11">
        <v>51</v>
      </c>
      <c r="E148" s="9">
        <v>52</v>
      </c>
      <c r="F148" s="9">
        <v>49</v>
      </c>
      <c r="G148" s="11">
        <v>68</v>
      </c>
      <c r="H148" s="9">
        <v>69</v>
      </c>
      <c r="I148" s="9">
        <v>70</v>
      </c>
      <c r="J148" s="9">
        <v>71</v>
      </c>
      <c r="K148" s="9">
        <v>72</v>
      </c>
      <c r="L148" s="101"/>
    </row>
    <row r="149" spans="1:12">
      <c r="A149" s="179"/>
      <c r="B149" s="8">
        <f t="shared" si="2"/>
        <v>2502</v>
      </c>
      <c r="C149" s="9">
        <v>53</v>
      </c>
      <c r="D149" s="9">
        <v>54</v>
      </c>
      <c r="E149" s="9">
        <v>55</v>
      </c>
      <c r="F149" s="168"/>
      <c r="G149" s="168"/>
      <c r="H149" s="168"/>
      <c r="I149" s="168"/>
      <c r="J149" s="168"/>
      <c r="K149" s="168"/>
      <c r="L149" s="101"/>
    </row>
    <row r="150" spans="1:12">
      <c r="A150" s="179"/>
      <c r="B150" s="8">
        <f t="shared" si="2"/>
        <v>2503</v>
      </c>
      <c r="C150" s="9">
        <v>56</v>
      </c>
      <c r="D150" s="9">
        <v>57</v>
      </c>
      <c r="E150" s="9">
        <v>58</v>
      </c>
      <c r="F150" s="168"/>
      <c r="G150" s="168"/>
      <c r="H150" s="168"/>
      <c r="I150" s="168"/>
      <c r="J150" s="168"/>
      <c r="K150" s="168"/>
      <c r="L150" s="101"/>
    </row>
    <row r="151" spans="1:12">
      <c r="A151" s="179"/>
      <c r="B151" s="8">
        <f t="shared" si="2"/>
        <v>2504</v>
      </c>
      <c r="C151" s="9">
        <v>59</v>
      </c>
      <c r="D151" s="9">
        <v>60</v>
      </c>
      <c r="E151" s="9">
        <v>61</v>
      </c>
      <c r="F151" s="168"/>
      <c r="G151" s="168"/>
      <c r="H151" s="168"/>
      <c r="I151" s="168"/>
      <c r="J151" s="168"/>
      <c r="K151" s="168"/>
      <c r="L151" s="101"/>
    </row>
    <row r="152" spans="1:12">
      <c r="A152" s="179"/>
      <c r="B152" s="8">
        <f t="shared" si="2"/>
        <v>2505</v>
      </c>
      <c r="C152" s="9">
        <v>62</v>
      </c>
      <c r="D152" s="9">
        <v>63</v>
      </c>
      <c r="E152" s="9">
        <v>64</v>
      </c>
      <c r="F152" s="168"/>
      <c r="G152" s="168"/>
      <c r="H152" s="168"/>
      <c r="I152" s="168"/>
      <c r="J152" s="168"/>
      <c r="K152" s="168"/>
      <c r="L152" s="101"/>
    </row>
    <row r="153" spans="1:12">
      <c r="A153" s="180"/>
      <c r="B153" s="8">
        <f t="shared" si="2"/>
        <v>2506</v>
      </c>
      <c r="C153" s="9">
        <v>65</v>
      </c>
      <c r="D153" s="11">
        <v>66</v>
      </c>
      <c r="E153" s="9">
        <v>67</v>
      </c>
      <c r="F153" s="168"/>
      <c r="G153" s="168"/>
      <c r="H153" s="168"/>
      <c r="I153" s="168"/>
      <c r="J153" s="168"/>
      <c r="K153" s="168"/>
      <c r="L153" s="101"/>
    </row>
    <row r="154" spans="1:12">
      <c r="A154" s="178">
        <v>26</v>
      </c>
      <c r="B154" s="178" t="s">
        <v>29</v>
      </c>
      <c r="C154" s="9">
        <v>86</v>
      </c>
      <c r="D154" s="9">
        <v>87</v>
      </c>
      <c r="E154" s="9">
        <v>88</v>
      </c>
      <c r="F154" s="50">
        <v>89</v>
      </c>
      <c r="G154" s="7"/>
      <c r="H154" s="7"/>
      <c r="I154" s="50">
        <v>90</v>
      </c>
      <c r="J154" s="50">
        <v>91</v>
      </c>
      <c r="K154" s="50">
        <v>92</v>
      </c>
      <c r="L154" s="101"/>
    </row>
    <row r="155" spans="1:12">
      <c r="A155" s="179"/>
      <c r="B155" s="179"/>
      <c r="C155" s="19"/>
      <c r="D155" s="7"/>
      <c r="E155" s="7"/>
      <c r="F155" s="7"/>
      <c r="G155" s="7"/>
      <c r="H155" s="7"/>
      <c r="I155" s="7"/>
      <c r="J155" s="7"/>
      <c r="K155" s="50">
        <v>93</v>
      </c>
      <c r="L155" s="101"/>
    </row>
    <row r="156" spans="1:12">
      <c r="A156" s="180"/>
      <c r="B156" s="180"/>
      <c r="C156" s="7"/>
      <c r="D156" s="7"/>
      <c r="E156" s="7"/>
      <c r="F156" s="7"/>
      <c r="G156" s="7"/>
      <c r="H156" s="7"/>
      <c r="I156" s="7"/>
      <c r="J156" s="7"/>
      <c r="K156" s="50">
        <v>94</v>
      </c>
      <c r="L156" s="102"/>
    </row>
  </sheetData>
  <mergeCells count="81">
    <mergeCell ref="C2:E3"/>
    <mergeCell ref="F149:K153"/>
    <mergeCell ref="L100:L117"/>
    <mergeCell ref="L118:L135"/>
    <mergeCell ref="A154:A156"/>
    <mergeCell ref="B154:B156"/>
    <mergeCell ref="L136:L156"/>
    <mergeCell ref="F113:K117"/>
    <mergeCell ref="F119:K123"/>
    <mergeCell ref="F125:K129"/>
    <mergeCell ref="F131:K135"/>
    <mergeCell ref="F137:K141"/>
    <mergeCell ref="F143:K147"/>
    <mergeCell ref="F83:K87"/>
    <mergeCell ref="F89:K93"/>
    <mergeCell ref="F95:K99"/>
    <mergeCell ref="L82:L99"/>
    <mergeCell ref="F101:K105"/>
    <mergeCell ref="F107:K111"/>
    <mergeCell ref="L46:L63"/>
    <mergeCell ref="F65:K69"/>
    <mergeCell ref="F71:K75"/>
    <mergeCell ref="F77:K81"/>
    <mergeCell ref="L64:L81"/>
    <mergeCell ref="F53:K57"/>
    <mergeCell ref="F59:K63"/>
    <mergeCell ref="F47:K51"/>
    <mergeCell ref="L4:L27"/>
    <mergeCell ref="F23:K27"/>
    <mergeCell ref="F29:K33"/>
    <mergeCell ref="F35:K39"/>
    <mergeCell ref="F41:K45"/>
    <mergeCell ref="L28:L45"/>
    <mergeCell ref="F17:K21"/>
    <mergeCell ref="A34:A39"/>
    <mergeCell ref="A76:A81"/>
    <mergeCell ref="A82:A87"/>
    <mergeCell ref="A88:A93"/>
    <mergeCell ref="A64:A69"/>
    <mergeCell ref="A70:A75"/>
    <mergeCell ref="A52:A57"/>
    <mergeCell ref="A58:A63"/>
    <mergeCell ref="A40:A45"/>
    <mergeCell ref="A46:A51"/>
    <mergeCell ref="A4:A9"/>
    <mergeCell ref="A10:A15"/>
    <mergeCell ref="A16:A21"/>
    <mergeCell ref="A22:A27"/>
    <mergeCell ref="A28:A33"/>
    <mergeCell ref="A136:A141"/>
    <mergeCell ref="A142:A147"/>
    <mergeCell ref="A148:A153"/>
    <mergeCell ref="A94:A99"/>
    <mergeCell ref="A100:A105"/>
    <mergeCell ref="A106:A111"/>
    <mergeCell ref="A112:A117"/>
    <mergeCell ref="A118:A123"/>
    <mergeCell ref="A124:A129"/>
    <mergeCell ref="A130:A135"/>
    <mergeCell ref="S29:S32"/>
    <mergeCell ref="S34:S37"/>
    <mergeCell ref="S39:S42"/>
    <mergeCell ref="S14:S17"/>
    <mergeCell ref="S19:S22"/>
    <mergeCell ref="S24:S27"/>
    <mergeCell ref="O3:P3"/>
    <mergeCell ref="N4:N7"/>
    <mergeCell ref="S4:S7"/>
    <mergeCell ref="S9:S12"/>
    <mergeCell ref="A1:L1"/>
    <mergeCell ref="A2:A3"/>
    <mergeCell ref="B2:B3"/>
    <mergeCell ref="F2:F3"/>
    <mergeCell ref="H2:H3"/>
    <mergeCell ref="I2:I3"/>
    <mergeCell ref="J2:J3"/>
    <mergeCell ref="K2:K3"/>
    <mergeCell ref="L2:L3"/>
    <mergeCell ref="G2:G3"/>
    <mergeCell ref="F5:K9"/>
    <mergeCell ref="F11:K15"/>
  </mergeCells>
  <conditionalFormatting sqref="C4:F5 C6:E15 C16:F17 C18:E27 G4:K4 G16:K16 C28:F29 C30:E39 C40:F41 C42:E45 G28:K28 G40:K40 C46:F47 C48:E57 C58:F59 C60:E63 G46:K46 G58:K58 C64:F65 C66:E75 C76:F77 C78:E81 G64:K64 G76:K76 C82:F83 C84:E93 C94:F95 C96:E99 G82:K82 G94:K94 C100:F101 C102:E111 C112:F113 C114:E117 G100:K100 G112:K112">
    <cfRule type="cellIs" dxfId="44" priority="37" operator="equal">
      <formula>"Улаан"</formula>
    </cfRule>
  </conditionalFormatting>
  <conditionalFormatting sqref="F10:F11 G10:K10">
    <cfRule type="cellIs" dxfId="43" priority="10" operator="equal">
      <formula>"Улаан"</formula>
    </cfRule>
  </conditionalFormatting>
  <conditionalFormatting sqref="F34:F35 G34:K34">
    <cfRule type="cellIs" dxfId="42" priority="9" operator="equal">
      <formula>"Улаан"</formula>
    </cfRule>
  </conditionalFormatting>
  <conditionalFormatting sqref="F52:F53 G52:K52">
    <cfRule type="cellIs" dxfId="41" priority="8" operator="equal">
      <formula>"Улаан"</formula>
    </cfRule>
  </conditionalFormatting>
  <conditionalFormatting sqref="F70:F71 G70:K70">
    <cfRule type="cellIs" dxfId="40" priority="7" operator="equal">
      <formula>"Улаан"</formula>
    </cfRule>
  </conditionalFormatting>
  <conditionalFormatting sqref="F88:F89 G88:K88">
    <cfRule type="cellIs" dxfId="39" priority="6" operator="equal">
      <formula>"Улаан"</formula>
    </cfRule>
  </conditionalFormatting>
  <conditionalFormatting sqref="F106:F107 G106:K106">
    <cfRule type="cellIs" dxfId="38" priority="5" operator="equal">
      <formula>"Улаан"</formula>
    </cfRule>
  </conditionalFormatting>
  <conditionalFormatting sqref="C118:F119 C120:E129 C130:F131 C132:E135 G118:K118 G130:K130">
    <cfRule type="cellIs" dxfId="37" priority="4" operator="equal">
      <formula>"Улаан"</formula>
    </cfRule>
  </conditionalFormatting>
  <conditionalFormatting sqref="F124:F125 G124:K124">
    <cfRule type="cellIs" dxfId="36" priority="3" operator="equal">
      <formula>"Улаан"</formula>
    </cfRule>
  </conditionalFormatting>
  <conditionalFormatting sqref="C136:F137 C138:E147 C148:F149 G136:K136 G148:K148 C150:E154 C155">
    <cfRule type="cellIs" dxfId="35" priority="2" operator="equal">
      <formula>"Улаан"</formula>
    </cfRule>
  </conditionalFormatting>
  <conditionalFormatting sqref="F142:F143 G142:K142">
    <cfRule type="cellIs" dxfId="34" priority="1" operator="equal">
      <formula>"Улаан"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BB79-EB85-4DFB-9BB7-3E690756B6ED}">
  <dimension ref="A1:V112"/>
  <sheetViews>
    <sheetView topLeftCell="K1" workbookViewId="0">
      <selection activeCell="P23" sqref="P23"/>
    </sheetView>
  </sheetViews>
  <sheetFormatPr defaultRowHeight="15"/>
  <cols>
    <col min="14" max="14" width="9.7109375" bestFit="1" customWidth="1"/>
    <col min="15" max="15" width="14.5703125" bestFit="1" customWidth="1"/>
    <col min="20" max="20" width="14.5703125" bestFit="1" customWidth="1"/>
  </cols>
  <sheetData>
    <row r="1" spans="1:22">
      <c r="A1" s="77">
        <v>223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  <c r="V1" s="3"/>
    </row>
    <row r="2" spans="1:22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  <c r="V2" s="2"/>
    </row>
    <row r="3" spans="1:22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  <c r="V3" s="2"/>
    </row>
    <row r="4" spans="1:22">
      <c r="A4" s="98">
        <v>1</v>
      </c>
      <c r="B4" s="8" t="str">
        <f>INT((ROW()-4)/4)+1 &amp; TEXT(MOD(ROW()-4,4)+1,"00")</f>
        <v>101</v>
      </c>
      <c r="C4" s="11">
        <v>1</v>
      </c>
      <c r="D4" s="11">
        <v>2</v>
      </c>
      <c r="E4" s="9">
        <v>3</v>
      </c>
      <c r="F4" s="11">
        <v>4</v>
      </c>
      <c r="G4" s="9">
        <v>17</v>
      </c>
      <c r="H4" s="9">
        <v>18</v>
      </c>
      <c r="I4" s="9">
        <v>19</v>
      </c>
      <c r="J4" s="9">
        <v>20</v>
      </c>
      <c r="K4" s="9">
        <v>21</v>
      </c>
      <c r="L4" s="91" t="s">
        <v>9</v>
      </c>
      <c r="N4" s="92">
        <v>46000</v>
      </c>
      <c r="O4" s="12" t="s">
        <v>10</v>
      </c>
      <c r="P4" s="13">
        <f>SUM(P5:P7)</f>
        <v>534</v>
      </c>
      <c r="Q4" s="73">
        <v>1</v>
      </c>
      <c r="S4" s="92" t="s">
        <v>9</v>
      </c>
      <c r="T4" s="12" t="s">
        <v>10</v>
      </c>
      <c r="U4" s="13">
        <f>SUM(U5:U7)</f>
        <v>63</v>
      </c>
      <c r="V4" s="72">
        <v>1</v>
      </c>
    </row>
    <row r="5" spans="1:22">
      <c r="A5" s="106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9">
        <v>7</v>
      </c>
      <c r="F5" s="9">
        <v>8</v>
      </c>
      <c r="G5" s="82"/>
      <c r="H5" s="83"/>
      <c r="I5" s="83"/>
      <c r="J5" s="83"/>
      <c r="K5" s="84"/>
      <c r="L5" s="91"/>
      <c r="N5" s="93"/>
      <c r="O5" s="14" t="s">
        <v>11</v>
      </c>
      <c r="P5" s="13" cm="1">
        <f t="array" ref="P5">CountByColor(C4:K106, O5)</f>
        <v>76</v>
      </c>
      <c r="Q5" s="74">
        <v>0.14230000000000001</v>
      </c>
      <c r="S5" s="93"/>
      <c r="T5" s="14" t="s">
        <v>11</v>
      </c>
      <c r="U5" s="13" cm="1">
        <f t="array" ref="U5">CountByColor(C4:K15, T5)</f>
        <v>11</v>
      </c>
      <c r="V5" s="71">
        <v>0.17460000000000001</v>
      </c>
    </row>
    <row r="6" spans="1:22">
      <c r="A6" s="106"/>
      <c r="B6" s="8" t="str">
        <f t="shared" si="0"/>
        <v>103</v>
      </c>
      <c r="C6" s="11">
        <v>9</v>
      </c>
      <c r="D6" s="9">
        <v>10</v>
      </c>
      <c r="E6" s="9">
        <v>11</v>
      </c>
      <c r="F6" s="9">
        <v>12</v>
      </c>
      <c r="G6" s="107"/>
      <c r="H6" s="108"/>
      <c r="I6" s="108"/>
      <c r="J6" s="108"/>
      <c r="K6" s="109"/>
      <c r="L6" s="91"/>
      <c r="N6" s="93"/>
      <c r="O6" s="15" t="s">
        <v>12</v>
      </c>
      <c r="P6" s="13" cm="1">
        <f t="array" ref="P6">CountByColor(C4:K106, O6)</f>
        <v>1</v>
      </c>
      <c r="Q6" s="74">
        <v>1.9E-3</v>
      </c>
      <c r="S6" s="93"/>
      <c r="T6" s="15" t="s">
        <v>12</v>
      </c>
      <c r="U6" s="13" cm="1">
        <f t="array" ref="U6">CountByColor(C4:K15, T6)</f>
        <v>0</v>
      </c>
      <c r="V6" s="72">
        <v>0</v>
      </c>
    </row>
    <row r="7" spans="1:22">
      <c r="A7" s="99"/>
      <c r="B7" s="8" t="str">
        <f t="shared" si="0"/>
        <v>104</v>
      </c>
      <c r="C7" s="9">
        <v>13</v>
      </c>
      <c r="D7" s="11">
        <v>14</v>
      </c>
      <c r="E7" s="9">
        <v>15</v>
      </c>
      <c r="F7" s="9">
        <v>16</v>
      </c>
      <c r="G7" s="85"/>
      <c r="H7" s="86"/>
      <c r="I7" s="86"/>
      <c r="J7" s="86"/>
      <c r="K7" s="87"/>
      <c r="L7" s="91"/>
      <c r="N7" s="94"/>
      <c r="O7" s="16" t="s">
        <v>13</v>
      </c>
      <c r="P7" s="13" cm="1">
        <f t="array" ref="P7">CountByColor(C4:K106, O7)</f>
        <v>457</v>
      </c>
      <c r="Q7" s="74">
        <v>0.85580000000000001</v>
      </c>
      <c r="S7" s="94"/>
      <c r="T7" s="16" t="s">
        <v>13</v>
      </c>
      <c r="U7" s="13" cm="1">
        <f t="array" ref="U7">CountByColor(C4:K15, T7)</f>
        <v>52</v>
      </c>
      <c r="V7" s="71">
        <v>0.82540000000000002</v>
      </c>
    </row>
    <row r="8" spans="1:22">
      <c r="A8" s="98">
        <v>2</v>
      </c>
      <c r="B8" s="8" t="str">
        <f t="shared" si="0"/>
        <v>201</v>
      </c>
      <c r="C8" s="9">
        <v>22</v>
      </c>
      <c r="D8" s="11">
        <v>23</v>
      </c>
      <c r="E8" s="9">
        <v>24</v>
      </c>
      <c r="F8" s="9">
        <v>25</v>
      </c>
      <c r="G8" s="9">
        <v>38</v>
      </c>
      <c r="H8" s="9">
        <v>39</v>
      </c>
      <c r="I8" s="9">
        <v>40</v>
      </c>
      <c r="J8" s="9">
        <v>41</v>
      </c>
      <c r="K8" s="9">
        <v>42</v>
      </c>
      <c r="L8" s="91"/>
      <c r="N8" s="21"/>
      <c r="T8" s="1"/>
      <c r="U8" s="1"/>
    </row>
    <row r="9" spans="1:22">
      <c r="A9" s="106"/>
      <c r="B9" s="8" t="str">
        <f t="shared" si="0"/>
        <v>202</v>
      </c>
      <c r="C9" s="9">
        <v>26</v>
      </c>
      <c r="D9" s="9">
        <v>27</v>
      </c>
      <c r="E9" s="9">
        <v>28</v>
      </c>
      <c r="F9" s="9">
        <v>29</v>
      </c>
      <c r="G9" s="82"/>
      <c r="H9" s="83"/>
      <c r="I9" s="83"/>
      <c r="J9" s="83"/>
      <c r="K9" s="84"/>
      <c r="L9" s="91"/>
      <c r="S9" s="92" t="s">
        <v>14</v>
      </c>
      <c r="T9" s="12" t="s">
        <v>10</v>
      </c>
      <c r="U9" s="13">
        <f>SUM(U10:U12)</f>
        <v>63</v>
      </c>
      <c r="V9" s="72">
        <v>1</v>
      </c>
    </row>
    <row r="10" spans="1:22">
      <c r="A10" s="106"/>
      <c r="B10" s="8" t="str">
        <f t="shared" si="0"/>
        <v>203</v>
      </c>
      <c r="C10" s="9">
        <v>30</v>
      </c>
      <c r="D10" s="9">
        <v>31</v>
      </c>
      <c r="E10" s="11">
        <v>32</v>
      </c>
      <c r="F10" s="9">
        <v>33</v>
      </c>
      <c r="G10" s="107"/>
      <c r="H10" s="108"/>
      <c r="I10" s="108"/>
      <c r="J10" s="108"/>
      <c r="K10" s="109"/>
      <c r="L10" s="91"/>
      <c r="S10" s="93"/>
      <c r="T10" s="14" t="s">
        <v>11</v>
      </c>
      <c r="U10" s="13" cm="1">
        <f t="array" ref="U10">CountByColor(C16:K27, T10)</f>
        <v>9</v>
      </c>
      <c r="V10" s="71">
        <v>0.1429</v>
      </c>
    </row>
    <row r="11" spans="1:22">
      <c r="A11" s="99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85"/>
      <c r="H11" s="86"/>
      <c r="I11" s="86"/>
      <c r="J11" s="86"/>
      <c r="K11" s="87"/>
      <c r="L11" s="91"/>
      <c r="S11" s="93"/>
      <c r="T11" s="15" t="s">
        <v>12</v>
      </c>
      <c r="U11" s="13" cm="1">
        <f t="array" ref="U11">CountByColor(C16:K27, T11)</f>
        <v>0</v>
      </c>
      <c r="V11" s="72">
        <v>0</v>
      </c>
    </row>
    <row r="12" spans="1:22">
      <c r="A12" s="98">
        <v>3</v>
      </c>
      <c r="B12" s="8" t="str">
        <f t="shared" si="0"/>
        <v>301</v>
      </c>
      <c r="C12" s="11">
        <v>43</v>
      </c>
      <c r="D12" s="11">
        <v>44</v>
      </c>
      <c r="E12" s="9">
        <v>45</v>
      </c>
      <c r="F12" s="11">
        <v>46</v>
      </c>
      <c r="G12" s="11">
        <v>59</v>
      </c>
      <c r="H12" s="9">
        <v>60</v>
      </c>
      <c r="I12" s="9">
        <v>61</v>
      </c>
      <c r="J12" s="9">
        <v>62</v>
      </c>
      <c r="K12" s="9">
        <v>63</v>
      </c>
      <c r="L12" s="91"/>
      <c r="S12" s="94"/>
      <c r="T12" s="16" t="s">
        <v>13</v>
      </c>
      <c r="U12" s="13" cm="1">
        <f t="array" ref="U12">CountByColor(C16:K27, T12)</f>
        <v>54</v>
      </c>
      <c r="V12" s="71">
        <v>0.85709999999999997</v>
      </c>
    </row>
    <row r="13" spans="1:22">
      <c r="A13" s="106"/>
      <c r="B13" s="8" t="str">
        <f t="shared" si="0"/>
        <v>302</v>
      </c>
      <c r="C13" s="9">
        <v>47</v>
      </c>
      <c r="D13" s="9">
        <v>48</v>
      </c>
      <c r="E13" s="9">
        <v>49</v>
      </c>
      <c r="F13" s="9">
        <v>50</v>
      </c>
      <c r="G13" s="82"/>
      <c r="H13" s="83"/>
      <c r="I13" s="83"/>
      <c r="J13" s="83"/>
      <c r="K13" s="84"/>
      <c r="L13" s="91"/>
      <c r="S13" s="1"/>
    </row>
    <row r="14" spans="1:22">
      <c r="A14" s="106"/>
      <c r="B14" s="8" t="str">
        <f t="shared" si="0"/>
        <v>303</v>
      </c>
      <c r="C14" s="9">
        <v>51</v>
      </c>
      <c r="D14" s="9">
        <v>52</v>
      </c>
      <c r="E14" s="9">
        <v>53</v>
      </c>
      <c r="F14" s="9">
        <v>54</v>
      </c>
      <c r="G14" s="107"/>
      <c r="H14" s="108"/>
      <c r="I14" s="108"/>
      <c r="J14" s="108"/>
      <c r="K14" s="109"/>
      <c r="L14" s="91"/>
      <c r="S14" s="92" t="s">
        <v>15</v>
      </c>
      <c r="T14" s="12" t="s">
        <v>10</v>
      </c>
      <c r="U14" s="13">
        <f>SUM(U15:U17)</f>
        <v>63</v>
      </c>
      <c r="V14" s="72">
        <v>1</v>
      </c>
    </row>
    <row r="15" spans="1:22">
      <c r="A15" s="99"/>
      <c r="B15" s="8" t="str">
        <f t="shared" si="0"/>
        <v>304</v>
      </c>
      <c r="C15" s="9">
        <v>55</v>
      </c>
      <c r="D15" s="9">
        <v>56</v>
      </c>
      <c r="E15" s="9">
        <v>57</v>
      </c>
      <c r="F15" s="9">
        <v>58</v>
      </c>
      <c r="G15" s="85"/>
      <c r="H15" s="86"/>
      <c r="I15" s="86"/>
      <c r="J15" s="86"/>
      <c r="K15" s="87"/>
      <c r="L15" s="91"/>
      <c r="S15" s="93"/>
      <c r="T15" s="14" t="s">
        <v>11</v>
      </c>
      <c r="U15" s="13" cm="1">
        <f t="array" ref="U15">CountByColor(C28:K39, T15)</f>
        <v>2</v>
      </c>
      <c r="V15" s="71">
        <v>3.1699999999999999E-2</v>
      </c>
    </row>
    <row r="16" spans="1:22">
      <c r="A16" s="98">
        <v>4</v>
      </c>
      <c r="B16" s="8" t="str">
        <f t="shared" si="0"/>
        <v>401</v>
      </c>
      <c r="C16" s="9">
        <v>1</v>
      </c>
      <c r="D16" s="9">
        <v>2</v>
      </c>
      <c r="E16" s="9">
        <v>3</v>
      </c>
      <c r="F16" s="9">
        <v>4</v>
      </c>
      <c r="G16" s="9">
        <v>17</v>
      </c>
      <c r="H16" s="9">
        <v>18</v>
      </c>
      <c r="I16" s="9">
        <v>19</v>
      </c>
      <c r="J16" s="9">
        <v>20</v>
      </c>
      <c r="K16" s="9">
        <v>21</v>
      </c>
      <c r="L16" s="91" t="s">
        <v>14</v>
      </c>
      <c r="S16" s="93"/>
      <c r="T16" s="15" t="s">
        <v>12</v>
      </c>
      <c r="U16" s="13" cm="1">
        <f t="array" ref="U16">CountByColor(C28:K39, T16)</f>
        <v>1</v>
      </c>
      <c r="V16" s="71">
        <v>1.5900000000000001E-2</v>
      </c>
    </row>
    <row r="17" spans="1:22">
      <c r="A17" s="106"/>
      <c r="B17" s="8" t="str">
        <f t="shared" si="0"/>
        <v>402</v>
      </c>
      <c r="C17" s="9">
        <v>5</v>
      </c>
      <c r="D17" s="11">
        <v>6</v>
      </c>
      <c r="E17" s="9">
        <v>7</v>
      </c>
      <c r="F17" s="11">
        <v>8</v>
      </c>
      <c r="G17" s="82"/>
      <c r="H17" s="83"/>
      <c r="I17" s="83"/>
      <c r="J17" s="83"/>
      <c r="K17" s="84"/>
      <c r="L17" s="91"/>
      <c r="S17" s="94"/>
      <c r="T17" s="16" t="s">
        <v>13</v>
      </c>
      <c r="U17" s="13" cm="1">
        <f t="array" ref="U17">CountByColor(C28:K39, T17)</f>
        <v>60</v>
      </c>
      <c r="V17" s="71">
        <v>0.95240000000000002</v>
      </c>
    </row>
    <row r="18" spans="1:22">
      <c r="A18" s="106"/>
      <c r="B18" s="8" t="str">
        <f t="shared" si="0"/>
        <v>403</v>
      </c>
      <c r="C18" s="9">
        <v>9</v>
      </c>
      <c r="D18" s="9">
        <v>10</v>
      </c>
      <c r="E18" s="9">
        <v>11</v>
      </c>
      <c r="F18" s="9">
        <v>12</v>
      </c>
      <c r="G18" s="107"/>
      <c r="H18" s="108"/>
      <c r="I18" s="108"/>
      <c r="J18" s="108"/>
      <c r="K18" s="109"/>
      <c r="L18" s="91"/>
      <c r="S18" s="1"/>
    </row>
    <row r="19" spans="1:22">
      <c r="A19" s="99"/>
      <c r="B19" s="8" t="str">
        <f t="shared" si="0"/>
        <v>404</v>
      </c>
      <c r="C19" s="9">
        <v>13</v>
      </c>
      <c r="D19" s="9">
        <v>14</v>
      </c>
      <c r="E19" s="9">
        <v>15</v>
      </c>
      <c r="F19" s="9">
        <v>16</v>
      </c>
      <c r="G19" s="85"/>
      <c r="H19" s="86"/>
      <c r="I19" s="86"/>
      <c r="J19" s="86"/>
      <c r="K19" s="87"/>
      <c r="L19" s="91"/>
      <c r="S19" s="92" t="s">
        <v>16</v>
      </c>
      <c r="T19" s="12" t="s">
        <v>10</v>
      </c>
      <c r="U19" s="13">
        <f>SUM(U20:U22)</f>
        <v>63</v>
      </c>
      <c r="V19" s="72">
        <v>1</v>
      </c>
    </row>
    <row r="20" spans="1:22">
      <c r="A20" s="98">
        <v>5</v>
      </c>
      <c r="B20" s="8" t="str">
        <f t="shared" si="0"/>
        <v>501</v>
      </c>
      <c r="C20" s="9">
        <v>22</v>
      </c>
      <c r="D20" s="11">
        <v>23</v>
      </c>
      <c r="E20" s="9">
        <v>24</v>
      </c>
      <c r="F20" s="9">
        <v>25</v>
      </c>
      <c r="G20" s="9">
        <v>38</v>
      </c>
      <c r="H20" s="9">
        <v>39</v>
      </c>
      <c r="I20" s="9">
        <v>40</v>
      </c>
      <c r="J20" s="9">
        <v>41</v>
      </c>
      <c r="K20" s="9">
        <v>42</v>
      </c>
      <c r="L20" s="91"/>
      <c r="S20" s="93"/>
      <c r="T20" s="14" t="s">
        <v>11</v>
      </c>
      <c r="U20" s="13" cm="1">
        <f t="array" ref="U20">CountByColor(C40:K51, T20)</f>
        <v>1</v>
      </c>
      <c r="V20" s="71">
        <v>1.5900000000000001E-2</v>
      </c>
    </row>
    <row r="21" spans="1:22">
      <c r="A21" s="106"/>
      <c r="B21" s="8" t="str">
        <f t="shared" si="0"/>
        <v>502</v>
      </c>
      <c r="C21" s="9">
        <v>26</v>
      </c>
      <c r="D21" s="9">
        <v>27</v>
      </c>
      <c r="E21" s="11">
        <v>28</v>
      </c>
      <c r="F21" s="9">
        <v>29</v>
      </c>
      <c r="G21" s="82"/>
      <c r="H21" s="83"/>
      <c r="I21" s="83"/>
      <c r="J21" s="83"/>
      <c r="K21" s="84"/>
      <c r="L21" s="91"/>
      <c r="R21" s="1"/>
      <c r="S21" s="93"/>
      <c r="T21" s="15" t="s">
        <v>12</v>
      </c>
      <c r="U21" s="13" cm="1">
        <f t="array" ref="U21">CountByColor(C40:K51, T21)</f>
        <v>0</v>
      </c>
      <c r="V21" s="72">
        <v>0</v>
      </c>
    </row>
    <row r="22" spans="1:22">
      <c r="A22" s="106"/>
      <c r="B22" s="8" t="str">
        <f t="shared" si="0"/>
        <v>503</v>
      </c>
      <c r="C22" s="9">
        <v>30</v>
      </c>
      <c r="D22" s="9">
        <v>31</v>
      </c>
      <c r="E22" s="9">
        <v>32</v>
      </c>
      <c r="F22" s="9">
        <v>33</v>
      </c>
      <c r="G22" s="107"/>
      <c r="H22" s="108"/>
      <c r="I22" s="108"/>
      <c r="J22" s="108"/>
      <c r="K22" s="109"/>
      <c r="L22" s="91"/>
      <c r="S22" s="94"/>
      <c r="T22" s="16" t="s">
        <v>13</v>
      </c>
      <c r="U22" s="13" cm="1">
        <f t="array" ref="U22">CountByColor(C40:K51, T22)</f>
        <v>62</v>
      </c>
      <c r="V22" s="71">
        <v>0.98409999999999997</v>
      </c>
    </row>
    <row r="23" spans="1:22">
      <c r="A23" s="99"/>
      <c r="B23" s="8" t="str">
        <f t="shared" si="0"/>
        <v>504</v>
      </c>
      <c r="C23" s="9">
        <v>34</v>
      </c>
      <c r="D23" s="9">
        <v>35</v>
      </c>
      <c r="E23" s="9">
        <v>36</v>
      </c>
      <c r="F23" s="9">
        <v>37</v>
      </c>
      <c r="G23" s="85"/>
      <c r="H23" s="86"/>
      <c r="I23" s="86"/>
      <c r="J23" s="86"/>
      <c r="K23" s="87"/>
      <c r="L23" s="91"/>
      <c r="S23" s="1"/>
    </row>
    <row r="24" spans="1:22">
      <c r="A24" s="98">
        <v>6</v>
      </c>
      <c r="B24" s="8" t="str">
        <f t="shared" si="0"/>
        <v>601</v>
      </c>
      <c r="C24" s="11">
        <v>43</v>
      </c>
      <c r="D24" s="11">
        <v>44</v>
      </c>
      <c r="E24" s="9">
        <v>45</v>
      </c>
      <c r="F24" s="11">
        <v>46</v>
      </c>
      <c r="G24" s="9">
        <v>59</v>
      </c>
      <c r="H24" s="9">
        <v>60</v>
      </c>
      <c r="I24" s="9">
        <v>61</v>
      </c>
      <c r="J24" s="9">
        <v>62</v>
      </c>
      <c r="K24" s="9">
        <v>63</v>
      </c>
      <c r="L24" s="91"/>
      <c r="S24" s="92" t="s">
        <v>19</v>
      </c>
      <c r="T24" s="12" t="s">
        <v>10</v>
      </c>
      <c r="U24" s="13">
        <f>SUM(U25:U27)</f>
        <v>63</v>
      </c>
      <c r="V24" s="72">
        <v>1</v>
      </c>
    </row>
    <row r="25" spans="1:22">
      <c r="A25" s="106"/>
      <c r="B25" s="8" t="str">
        <f t="shared" si="0"/>
        <v>602</v>
      </c>
      <c r="C25" s="9">
        <v>47</v>
      </c>
      <c r="D25" s="9">
        <v>48</v>
      </c>
      <c r="E25" s="9">
        <v>49</v>
      </c>
      <c r="F25" s="9">
        <v>50</v>
      </c>
      <c r="G25" s="82"/>
      <c r="H25" s="83"/>
      <c r="I25" s="83"/>
      <c r="J25" s="83"/>
      <c r="K25" s="84"/>
      <c r="L25" s="91"/>
      <c r="S25" s="93"/>
      <c r="T25" s="14" t="s">
        <v>11</v>
      </c>
      <c r="U25" s="13" cm="1">
        <f t="array" ref="U25">CountByColor(C52:K63, T25)</f>
        <v>3</v>
      </c>
      <c r="V25" s="71">
        <v>4.7600000000000003E-2</v>
      </c>
    </row>
    <row r="26" spans="1:22">
      <c r="A26" s="106"/>
      <c r="B26" s="8" t="str">
        <f t="shared" si="0"/>
        <v>603</v>
      </c>
      <c r="C26" s="9">
        <v>51</v>
      </c>
      <c r="D26" s="11">
        <v>52</v>
      </c>
      <c r="E26" s="11">
        <v>53</v>
      </c>
      <c r="F26" s="9">
        <v>54</v>
      </c>
      <c r="G26" s="107"/>
      <c r="H26" s="108"/>
      <c r="I26" s="108"/>
      <c r="J26" s="108"/>
      <c r="K26" s="109"/>
      <c r="L26" s="91"/>
      <c r="S26" s="93"/>
      <c r="T26" s="15" t="s">
        <v>12</v>
      </c>
      <c r="U26" s="13" cm="1">
        <f t="array" ref="U26">CountByColor(C52:K63, T26)</f>
        <v>0</v>
      </c>
      <c r="V26" s="72">
        <v>0</v>
      </c>
    </row>
    <row r="27" spans="1:22">
      <c r="A27" s="99"/>
      <c r="B27" s="8" t="str">
        <f t="shared" si="0"/>
        <v>604</v>
      </c>
      <c r="C27" s="9">
        <v>55</v>
      </c>
      <c r="D27" s="9">
        <v>56</v>
      </c>
      <c r="E27" s="9">
        <v>57</v>
      </c>
      <c r="F27" s="9">
        <v>58</v>
      </c>
      <c r="G27" s="85"/>
      <c r="H27" s="86"/>
      <c r="I27" s="86"/>
      <c r="J27" s="86"/>
      <c r="K27" s="87"/>
      <c r="L27" s="91"/>
      <c r="S27" s="94"/>
      <c r="T27" s="16" t="s">
        <v>13</v>
      </c>
      <c r="U27" s="13" cm="1">
        <f t="array" ref="U27">CountByColor(C52:K63, T27)</f>
        <v>60</v>
      </c>
      <c r="V27" s="71">
        <v>0.95240000000000002</v>
      </c>
    </row>
    <row r="28" spans="1:22">
      <c r="A28" s="98">
        <v>7</v>
      </c>
      <c r="B28" s="8" t="str">
        <f t="shared" si="0"/>
        <v>701</v>
      </c>
      <c r="C28" s="9">
        <v>1</v>
      </c>
      <c r="D28" s="9">
        <v>2</v>
      </c>
      <c r="E28" s="9">
        <v>3</v>
      </c>
      <c r="F28" s="9">
        <v>4</v>
      </c>
      <c r="G28" s="9">
        <v>17</v>
      </c>
      <c r="H28" s="9">
        <v>18</v>
      </c>
      <c r="I28" s="9">
        <v>19</v>
      </c>
      <c r="J28" s="9">
        <v>20</v>
      </c>
      <c r="K28" s="9">
        <v>21</v>
      </c>
      <c r="L28" s="91" t="s">
        <v>15</v>
      </c>
      <c r="S28" s="1"/>
    </row>
    <row r="29" spans="1:22">
      <c r="A29" s="106"/>
      <c r="B29" s="8" t="str">
        <f t="shared" si="0"/>
        <v>702</v>
      </c>
      <c r="C29" s="9">
        <v>5</v>
      </c>
      <c r="D29" s="9">
        <v>6</v>
      </c>
      <c r="E29" s="10">
        <v>7</v>
      </c>
      <c r="F29" s="9">
        <v>8</v>
      </c>
      <c r="G29" s="82"/>
      <c r="H29" s="83"/>
      <c r="I29" s="83"/>
      <c r="J29" s="83"/>
      <c r="K29" s="84"/>
      <c r="L29" s="91"/>
      <c r="S29" s="92" t="s">
        <v>20</v>
      </c>
      <c r="T29" s="12" t="s">
        <v>10</v>
      </c>
      <c r="U29" s="13">
        <f>SUM(U30:U32)</f>
        <v>63</v>
      </c>
      <c r="V29" s="72">
        <v>1</v>
      </c>
    </row>
    <row r="30" spans="1:22">
      <c r="A30" s="106"/>
      <c r="B30" s="8" t="str">
        <f t="shared" si="0"/>
        <v>703</v>
      </c>
      <c r="C30" s="9">
        <v>9</v>
      </c>
      <c r="D30" s="9">
        <v>10</v>
      </c>
      <c r="E30" s="9">
        <v>11</v>
      </c>
      <c r="F30" s="9">
        <v>12</v>
      </c>
      <c r="G30" s="107"/>
      <c r="H30" s="108"/>
      <c r="I30" s="108"/>
      <c r="J30" s="108"/>
      <c r="K30" s="109"/>
      <c r="L30" s="91"/>
      <c r="S30" s="93"/>
      <c r="T30" s="14" t="s">
        <v>11</v>
      </c>
      <c r="U30" s="13" cm="1">
        <f t="array" ref="U30">CountByColor(C64:K75, T30)</f>
        <v>18</v>
      </c>
      <c r="V30" s="71">
        <v>0.28570000000000001</v>
      </c>
    </row>
    <row r="31" spans="1:22">
      <c r="A31" s="99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85"/>
      <c r="H31" s="86"/>
      <c r="I31" s="86"/>
      <c r="J31" s="86"/>
      <c r="K31" s="87"/>
      <c r="L31" s="91"/>
      <c r="O31" s="6"/>
      <c r="S31" s="93"/>
      <c r="T31" s="15" t="s">
        <v>12</v>
      </c>
      <c r="U31" s="13" cm="1">
        <f t="array" ref="U31">CountByColor(C64:K75, T31)</f>
        <v>0</v>
      </c>
      <c r="V31" s="72">
        <v>0</v>
      </c>
    </row>
    <row r="32" spans="1:22">
      <c r="A32" s="98">
        <v>8</v>
      </c>
      <c r="B32" s="8" t="str">
        <f t="shared" si="0"/>
        <v>801</v>
      </c>
      <c r="C32" s="9">
        <v>22</v>
      </c>
      <c r="D32" s="9">
        <v>23</v>
      </c>
      <c r="E32" s="9">
        <v>24</v>
      </c>
      <c r="F32" s="9">
        <v>25</v>
      </c>
      <c r="G32" s="9">
        <v>38</v>
      </c>
      <c r="H32" s="9">
        <v>39</v>
      </c>
      <c r="I32" s="9">
        <v>40</v>
      </c>
      <c r="J32" s="9">
        <v>41</v>
      </c>
      <c r="K32" s="9">
        <v>42</v>
      </c>
      <c r="L32" s="91"/>
      <c r="O32" s="6"/>
      <c r="S32" s="94"/>
      <c r="T32" s="16" t="s">
        <v>13</v>
      </c>
      <c r="U32" s="13" cm="1">
        <f t="array" ref="U32">CountByColor(C64:K75, T32)</f>
        <v>45</v>
      </c>
      <c r="V32" s="71">
        <v>0.71430000000000005</v>
      </c>
    </row>
    <row r="33" spans="1:22">
      <c r="A33" s="106"/>
      <c r="B33" s="8" t="str">
        <f t="shared" si="0"/>
        <v>802</v>
      </c>
      <c r="C33" s="9">
        <v>26</v>
      </c>
      <c r="D33" s="9">
        <v>27</v>
      </c>
      <c r="E33" s="9">
        <v>28</v>
      </c>
      <c r="F33" s="9">
        <v>29</v>
      </c>
      <c r="G33" s="82"/>
      <c r="H33" s="83"/>
      <c r="I33" s="83"/>
      <c r="J33" s="83"/>
      <c r="K33" s="84"/>
      <c r="L33" s="91"/>
      <c r="O33" s="6"/>
      <c r="S33" s="1"/>
    </row>
    <row r="34" spans="1:22">
      <c r="A34" s="106"/>
      <c r="B34" s="8" t="str">
        <f t="shared" si="0"/>
        <v>803</v>
      </c>
      <c r="C34" s="9">
        <v>30</v>
      </c>
      <c r="D34" s="9">
        <v>31</v>
      </c>
      <c r="E34" s="9">
        <v>32</v>
      </c>
      <c r="F34" s="9">
        <v>33</v>
      </c>
      <c r="G34" s="107"/>
      <c r="H34" s="108"/>
      <c r="I34" s="108"/>
      <c r="J34" s="108"/>
      <c r="K34" s="109"/>
      <c r="L34" s="91"/>
      <c r="O34" s="6"/>
      <c r="S34" s="92" t="s">
        <v>21</v>
      </c>
      <c r="T34" s="12" t="s">
        <v>10</v>
      </c>
      <c r="U34" s="13">
        <f>SUM(U35:U37)</f>
        <v>84</v>
      </c>
      <c r="V34" s="72">
        <v>1</v>
      </c>
    </row>
    <row r="35" spans="1:22">
      <c r="A35" s="99"/>
      <c r="B35" s="8" t="str">
        <f t="shared" si="0"/>
        <v>804</v>
      </c>
      <c r="C35" s="9">
        <v>34</v>
      </c>
      <c r="D35" s="9">
        <v>35</v>
      </c>
      <c r="E35" s="11">
        <v>36</v>
      </c>
      <c r="F35" s="11">
        <v>37</v>
      </c>
      <c r="G35" s="85"/>
      <c r="H35" s="86"/>
      <c r="I35" s="86"/>
      <c r="J35" s="86"/>
      <c r="K35" s="87"/>
      <c r="L35" s="91"/>
      <c r="O35" s="6"/>
      <c r="S35" s="93"/>
      <c r="T35" s="14" t="s">
        <v>11</v>
      </c>
      <c r="U35" s="13" cm="1">
        <f t="array" ref="U35">CountByColor(C76:K91, T35)</f>
        <v>20</v>
      </c>
      <c r="V35" s="71">
        <v>0.23810000000000001</v>
      </c>
    </row>
    <row r="36" spans="1:22">
      <c r="A36" s="98">
        <v>9</v>
      </c>
      <c r="B36" s="8" t="str">
        <f t="shared" si="0"/>
        <v>901</v>
      </c>
      <c r="C36" s="9">
        <v>43</v>
      </c>
      <c r="D36" s="9">
        <v>44</v>
      </c>
      <c r="E36" s="9">
        <v>45</v>
      </c>
      <c r="F36" s="9">
        <v>46</v>
      </c>
      <c r="G36" s="9">
        <v>59</v>
      </c>
      <c r="H36" s="9">
        <v>60</v>
      </c>
      <c r="I36" s="9">
        <v>61</v>
      </c>
      <c r="J36" s="9">
        <v>62</v>
      </c>
      <c r="K36" s="9">
        <v>63</v>
      </c>
      <c r="L36" s="91"/>
      <c r="N36" s="1"/>
      <c r="O36" s="6"/>
      <c r="S36" s="93"/>
      <c r="T36" s="15" t="s">
        <v>12</v>
      </c>
      <c r="U36" s="13" cm="1">
        <f t="array" ref="U36">CountByColor(C76:K91, T36)</f>
        <v>0</v>
      </c>
      <c r="V36" s="72">
        <v>0</v>
      </c>
    </row>
    <row r="37" spans="1:22">
      <c r="A37" s="106"/>
      <c r="B37" s="8" t="str">
        <f t="shared" si="0"/>
        <v>902</v>
      </c>
      <c r="C37" s="9">
        <v>47</v>
      </c>
      <c r="D37" s="9">
        <v>48</v>
      </c>
      <c r="E37" s="9">
        <v>49</v>
      </c>
      <c r="F37" s="9">
        <v>50</v>
      </c>
      <c r="G37" s="82"/>
      <c r="H37" s="83"/>
      <c r="I37" s="83"/>
      <c r="J37" s="83"/>
      <c r="K37" s="84"/>
      <c r="L37" s="91"/>
      <c r="N37" s="1"/>
      <c r="O37" s="6"/>
      <c r="S37" s="94"/>
      <c r="T37" s="16" t="s">
        <v>13</v>
      </c>
      <c r="U37" s="13" cm="1">
        <f t="array" ref="U37">CountByColor(C76:K91, T37)</f>
        <v>64</v>
      </c>
      <c r="V37" s="71">
        <v>0.76190000000000002</v>
      </c>
    </row>
    <row r="38" spans="1:22">
      <c r="A38" s="106"/>
      <c r="B38" s="8" t="str">
        <f t="shared" si="0"/>
        <v>903</v>
      </c>
      <c r="C38" s="9">
        <v>51</v>
      </c>
      <c r="D38" s="9">
        <v>52</v>
      </c>
      <c r="E38" s="9">
        <v>53</v>
      </c>
      <c r="F38" s="9">
        <v>54</v>
      </c>
      <c r="G38" s="107"/>
      <c r="H38" s="108"/>
      <c r="I38" s="108"/>
      <c r="J38" s="108"/>
      <c r="K38" s="109"/>
      <c r="L38" s="91"/>
      <c r="N38" s="1"/>
      <c r="S38" s="1"/>
    </row>
    <row r="39" spans="1:22">
      <c r="A39" s="99"/>
      <c r="B39" s="8" t="str">
        <f t="shared" si="0"/>
        <v>904</v>
      </c>
      <c r="C39" s="9">
        <v>55</v>
      </c>
      <c r="D39" s="9">
        <v>56</v>
      </c>
      <c r="E39" s="9">
        <v>57</v>
      </c>
      <c r="F39" s="9">
        <v>58</v>
      </c>
      <c r="G39" s="85"/>
      <c r="H39" s="86"/>
      <c r="I39" s="86"/>
      <c r="J39" s="86"/>
      <c r="K39" s="87"/>
      <c r="L39" s="91"/>
      <c r="N39" s="17"/>
      <c r="S39" s="92" t="s">
        <v>22</v>
      </c>
      <c r="T39" s="12" t="s">
        <v>10</v>
      </c>
      <c r="U39" s="13">
        <f>SUM(U40:U42)</f>
        <v>72</v>
      </c>
      <c r="V39" s="72">
        <v>1</v>
      </c>
    </row>
    <row r="40" spans="1:22">
      <c r="A40" s="98">
        <v>10</v>
      </c>
      <c r="B40" s="8" t="str">
        <f t="shared" si="0"/>
        <v>1001</v>
      </c>
      <c r="C40" s="9">
        <v>1</v>
      </c>
      <c r="D40" s="9">
        <v>2</v>
      </c>
      <c r="E40" s="11">
        <v>3</v>
      </c>
      <c r="F40" s="9">
        <v>4</v>
      </c>
      <c r="G40" s="9">
        <v>17</v>
      </c>
      <c r="H40" s="9">
        <v>18</v>
      </c>
      <c r="I40" s="9">
        <v>19</v>
      </c>
      <c r="J40" s="9">
        <v>20</v>
      </c>
      <c r="K40" s="9">
        <v>21</v>
      </c>
      <c r="L40" s="91" t="s">
        <v>16</v>
      </c>
      <c r="M40" s="1"/>
      <c r="N40" s="6"/>
      <c r="R40" s="1"/>
      <c r="S40" s="93"/>
      <c r="T40" s="14" t="s">
        <v>11</v>
      </c>
      <c r="U40" s="13" cm="1">
        <f t="array" ref="U40">CountByColor(C92:K106, T40)</f>
        <v>12</v>
      </c>
      <c r="V40" s="71">
        <v>0.16669999999999999</v>
      </c>
    </row>
    <row r="41" spans="1:22">
      <c r="A41" s="106"/>
      <c r="B41" s="8" t="str">
        <f t="shared" si="0"/>
        <v>1002</v>
      </c>
      <c r="C41" s="9">
        <v>5</v>
      </c>
      <c r="D41" s="9">
        <v>6</v>
      </c>
      <c r="E41" s="9">
        <v>7</v>
      </c>
      <c r="F41" s="9">
        <v>8</v>
      </c>
      <c r="G41" s="82"/>
      <c r="H41" s="83"/>
      <c r="I41" s="83"/>
      <c r="J41" s="83"/>
      <c r="K41" s="84"/>
      <c r="L41" s="91"/>
      <c r="M41" s="1"/>
      <c r="N41" s="6"/>
      <c r="R41" s="1"/>
      <c r="S41" s="93"/>
      <c r="T41" s="15" t="s">
        <v>12</v>
      </c>
      <c r="U41" s="13" cm="1">
        <f t="array" ref="U41">CountByColor(C92:K106, T41)</f>
        <v>0</v>
      </c>
      <c r="V41" s="72">
        <v>0</v>
      </c>
    </row>
    <row r="42" spans="1:22">
      <c r="A42" s="106"/>
      <c r="B42" s="8" t="str">
        <f t="shared" si="0"/>
        <v>1003</v>
      </c>
      <c r="C42" s="9">
        <v>9</v>
      </c>
      <c r="D42" s="9">
        <v>10</v>
      </c>
      <c r="E42" s="9">
        <v>11</v>
      </c>
      <c r="F42" s="9">
        <v>12</v>
      </c>
      <c r="G42" s="107"/>
      <c r="H42" s="108"/>
      <c r="I42" s="108"/>
      <c r="J42" s="108"/>
      <c r="K42" s="109"/>
      <c r="L42" s="91"/>
      <c r="M42" s="1"/>
      <c r="N42" s="6"/>
      <c r="R42" s="1"/>
      <c r="S42" s="94"/>
      <c r="T42" s="16" t="s">
        <v>13</v>
      </c>
      <c r="U42" s="13" cm="1">
        <f t="array" ref="U42">CountByColor(C92:K106, T42)</f>
        <v>60</v>
      </c>
      <c r="V42" s="71">
        <v>0.83330000000000004</v>
      </c>
    </row>
    <row r="43" spans="1:22">
      <c r="A43" s="99"/>
      <c r="B43" s="8" t="str">
        <f t="shared" si="0"/>
        <v>1004</v>
      </c>
      <c r="C43" s="9">
        <v>13</v>
      </c>
      <c r="D43" s="9">
        <v>14</v>
      </c>
      <c r="E43" s="9">
        <v>15</v>
      </c>
      <c r="F43" s="9">
        <v>16</v>
      </c>
      <c r="G43" s="85"/>
      <c r="H43" s="86"/>
      <c r="I43" s="86"/>
      <c r="J43" s="86"/>
      <c r="K43" s="87"/>
      <c r="L43" s="91"/>
      <c r="M43" s="1"/>
      <c r="N43" s="6"/>
      <c r="R43" s="1"/>
    </row>
    <row r="44" spans="1:22">
      <c r="A44" s="98">
        <v>11</v>
      </c>
      <c r="B44" s="8" t="str">
        <f t="shared" si="0"/>
        <v>1101</v>
      </c>
      <c r="C44" s="9">
        <v>22</v>
      </c>
      <c r="D44" s="9">
        <v>23</v>
      </c>
      <c r="E44" s="9">
        <v>24</v>
      </c>
      <c r="F44" s="9">
        <v>25</v>
      </c>
      <c r="G44" s="9">
        <v>38</v>
      </c>
      <c r="H44" s="9">
        <v>39</v>
      </c>
      <c r="I44" s="9">
        <v>40</v>
      </c>
      <c r="J44" s="9">
        <v>41</v>
      </c>
      <c r="K44" s="9">
        <v>42</v>
      </c>
      <c r="L44" s="91"/>
      <c r="M44" s="1"/>
      <c r="N44" s="6"/>
      <c r="R44" s="1"/>
    </row>
    <row r="45" spans="1:22">
      <c r="A45" s="106"/>
      <c r="B45" s="8" t="str">
        <f t="shared" si="0"/>
        <v>1102</v>
      </c>
      <c r="C45" s="9">
        <v>26</v>
      </c>
      <c r="D45" s="9">
        <v>27</v>
      </c>
      <c r="E45" s="9">
        <v>28</v>
      </c>
      <c r="F45" s="9">
        <v>29</v>
      </c>
      <c r="G45" s="82"/>
      <c r="H45" s="83"/>
      <c r="I45" s="83"/>
      <c r="J45" s="83"/>
      <c r="K45" s="84"/>
      <c r="L45" s="91"/>
      <c r="M45" s="1"/>
      <c r="N45" s="6"/>
      <c r="R45" s="1"/>
    </row>
    <row r="46" spans="1:22">
      <c r="A46" s="106"/>
      <c r="B46" s="8" t="str">
        <f t="shared" si="0"/>
        <v>1103</v>
      </c>
      <c r="C46" s="9">
        <v>30</v>
      </c>
      <c r="D46" s="9">
        <v>31</v>
      </c>
      <c r="E46" s="9">
        <v>32</v>
      </c>
      <c r="F46" s="9">
        <v>33</v>
      </c>
      <c r="G46" s="107"/>
      <c r="H46" s="108"/>
      <c r="I46" s="108"/>
      <c r="J46" s="108"/>
      <c r="K46" s="109"/>
      <c r="L46" s="91"/>
      <c r="M46" s="1"/>
      <c r="N46" s="6"/>
      <c r="R46" s="1"/>
    </row>
    <row r="47" spans="1:22">
      <c r="A47" s="99"/>
      <c r="B47" s="8" t="str">
        <f t="shared" si="0"/>
        <v>1104</v>
      </c>
      <c r="C47" s="9">
        <v>34</v>
      </c>
      <c r="D47" s="9">
        <v>35</v>
      </c>
      <c r="E47" s="9">
        <v>36</v>
      </c>
      <c r="F47" s="9">
        <v>37</v>
      </c>
      <c r="G47" s="85"/>
      <c r="H47" s="86"/>
      <c r="I47" s="86"/>
      <c r="J47" s="86"/>
      <c r="K47" s="87"/>
      <c r="L47" s="91"/>
      <c r="M47" s="1"/>
      <c r="N47" s="6"/>
      <c r="R47" s="1"/>
    </row>
    <row r="48" spans="1:22">
      <c r="A48" s="80">
        <v>12</v>
      </c>
      <c r="B48" s="8" t="str">
        <f t="shared" si="0"/>
        <v>1201</v>
      </c>
      <c r="C48" s="9">
        <v>43</v>
      </c>
      <c r="D48" s="9">
        <v>44</v>
      </c>
      <c r="E48" s="9">
        <v>45</v>
      </c>
      <c r="F48" s="9">
        <v>46</v>
      </c>
      <c r="G48" s="9">
        <v>59</v>
      </c>
      <c r="H48" s="9">
        <v>60</v>
      </c>
      <c r="I48" s="9">
        <v>61</v>
      </c>
      <c r="J48" s="9">
        <v>62</v>
      </c>
      <c r="K48" s="9">
        <v>63</v>
      </c>
      <c r="L48" s="91"/>
      <c r="M48" s="1"/>
      <c r="N48" s="6"/>
      <c r="O48" s="6"/>
      <c r="R48" s="1"/>
    </row>
    <row r="49" spans="1:18">
      <c r="A49" s="80"/>
      <c r="B49" s="8" t="str">
        <f t="shared" si="0"/>
        <v>1202</v>
      </c>
      <c r="C49" s="9">
        <v>47</v>
      </c>
      <c r="D49" s="9">
        <v>48</v>
      </c>
      <c r="E49" s="9">
        <v>49</v>
      </c>
      <c r="F49" s="9">
        <v>50</v>
      </c>
      <c r="G49" s="82"/>
      <c r="H49" s="83"/>
      <c r="I49" s="83"/>
      <c r="J49" s="83"/>
      <c r="K49" s="84"/>
      <c r="L49" s="91"/>
      <c r="M49" s="1"/>
      <c r="N49" s="6"/>
      <c r="O49" s="6"/>
      <c r="R49" s="1"/>
    </row>
    <row r="50" spans="1:18">
      <c r="A50" s="80"/>
      <c r="B50" s="8" t="str">
        <f t="shared" si="0"/>
        <v>1203</v>
      </c>
      <c r="C50" s="9">
        <v>51</v>
      </c>
      <c r="D50" s="9">
        <v>52</v>
      </c>
      <c r="E50" s="9">
        <v>53</v>
      </c>
      <c r="F50" s="9">
        <v>54</v>
      </c>
      <c r="G50" s="107"/>
      <c r="H50" s="108"/>
      <c r="I50" s="108"/>
      <c r="J50" s="108"/>
      <c r="K50" s="109"/>
      <c r="L50" s="91"/>
      <c r="O50" s="6"/>
    </row>
    <row r="51" spans="1:18">
      <c r="A51" s="80"/>
      <c r="B51" s="8" t="str">
        <f t="shared" si="0"/>
        <v>1204</v>
      </c>
      <c r="C51" s="9">
        <v>55</v>
      </c>
      <c r="D51" s="9">
        <v>56</v>
      </c>
      <c r="E51" s="9">
        <v>57</v>
      </c>
      <c r="F51" s="9">
        <v>58</v>
      </c>
      <c r="G51" s="85"/>
      <c r="H51" s="86"/>
      <c r="I51" s="86"/>
      <c r="J51" s="86"/>
      <c r="K51" s="87"/>
      <c r="L51" s="91"/>
      <c r="O51" s="6"/>
    </row>
    <row r="52" spans="1:18">
      <c r="A52" s="98">
        <v>13</v>
      </c>
      <c r="B52" s="8" t="str">
        <f t="shared" si="0"/>
        <v>1301</v>
      </c>
      <c r="C52" s="9">
        <v>1</v>
      </c>
      <c r="D52" s="9">
        <v>2</v>
      </c>
      <c r="E52" s="9">
        <v>3</v>
      </c>
      <c r="F52" s="9">
        <v>4</v>
      </c>
      <c r="G52" s="9">
        <v>17</v>
      </c>
      <c r="H52" s="9">
        <v>18</v>
      </c>
      <c r="I52" s="9">
        <v>19</v>
      </c>
      <c r="J52" s="9">
        <v>20</v>
      </c>
      <c r="K52" s="9">
        <v>21</v>
      </c>
      <c r="L52" s="91" t="s">
        <v>18</v>
      </c>
      <c r="O52" s="6"/>
    </row>
    <row r="53" spans="1:18">
      <c r="A53" s="106"/>
      <c r="B53" s="8" t="str">
        <f t="shared" si="0"/>
        <v>1302</v>
      </c>
      <c r="C53" s="9">
        <v>5</v>
      </c>
      <c r="D53" s="9">
        <v>6</v>
      </c>
      <c r="E53" s="9">
        <v>7</v>
      </c>
      <c r="F53" s="9">
        <v>8</v>
      </c>
      <c r="G53" s="82"/>
      <c r="H53" s="83"/>
      <c r="I53" s="83"/>
      <c r="J53" s="83"/>
      <c r="K53" s="84"/>
      <c r="L53" s="91"/>
      <c r="O53" s="6"/>
    </row>
    <row r="54" spans="1:18">
      <c r="A54" s="106"/>
      <c r="B54" s="8" t="str">
        <f t="shared" si="0"/>
        <v>1303</v>
      </c>
      <c r="C54" s="9">
        <v>9</v>
      </c>
      <c r="D54" s="9">
        <v>10</v>
      </c>
      <c r="E54" s="9">
        <v>11</v>
      </c>
      <c r="F54" s="9">
        <v>12</v>
      </c>
      <c r="G54" s="107"/>
      <c r="H54" s="108"/>
      <c r="I54" s="108"/>
      <c r="J54" s="108"/>
      <c r="K54" s="109"/>
      <c r="L54" s="91"/>
      <c r="O54" s="6"/>
    </row>
    <row r="55" spans="1:18">
      <c r="A55" s="99"/>
      <c r="B55" s="8" t="str">
        <f t="shared" si="0"/>
        <v>1304</v>
      </c>
      <c r="C55" s="9">
        <v>13</v>
      </c>
      <c r="D55" s="9">
        <v>14</v>
      </c>
      <c r="E55" s="9">
        <v>15</v>
      </c>
      <c r="F55" s="9">
        <v>16</v>
      </c>
      <c r="G55" s="85"/>
      <c r="H55" s="86"/>
      <c r="I55" s="86"/>
      <c r="J55" s="86"/>
      <c r="K55" s="87"/>
      <c r="L55" s="91"/>
      <c r="O55" s="6"/>
    </row>
    <row r="56" spans="1:18">
      <c r="A56" s="98">
        <v>14</v>
      </c>
      <c r="B56" s="8" t="str">
        <f t="shared" si="0"/>
        <v>1401</v>
      </c>
      <c r="C56" s="9">
        <v>22</v>
      </c>
      <c r="D56" s="9">
        <v>23</v>
      </c>
      <c r="E56" s="9">
        <v>24</v>
      </c>
      <c r="F56" s="9">
        <v>25</v>
      </c>
      <c r="G56" s="9">
        <v>38</v>
      </c>
      <c r="H56" s="9">
        <v>39</v>
      </c>
      <c r="I56" s="9">
        <v>40</v>
      </c>
      <c r="J56" s="9">
        <v>41</v>
      </c>
      <c r="K56" s="9">
        <v>42</v>
      </c>
      <c r="L56" s="91"/>
      <c r="O56" s="6"/>
    </row>
    <row r="57" spans="1:18">
      <c r="A57" s="106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82"/>
      <c r="H57" s="83"/>
      <c r="I57" s="83"/>
      <c r="J57" s="83"/>
      <c r="K57" s="84"/>
      <c r="L57" s="91"/>
      <c r="O57" s="6"/>
    </row>
    <row r="58" spans="1:18">
      <c r="A58" s="106"/>
      <c r="B58" s="8" t="str">
        <f t="shared" si="0"/>
        <v>1403</v>
      </c>
      <c r="C58" s="9">
        <v>30</v>
      </c>
      <c r="D58" s="9">
        <v>31</v>
      </c>
      <c r="E58" s="9">
        <v>32</v>
      </c>
      <c r="F58" s="9">
        <v>33</v>
      </c>
      <c r="G58" s="107"/>
      <c r="H58" s="108"/>
      <c r="I58" s="108"/>
      <c r="J58" s="108"/>
      <c r="K58" s="109"/>
      <c r="L58" s="91"/>
      <c r="O58" s="6"/>
    </row>
    <row r="59" spans="1:18">
      <c r="A59" s="99"/>
      <c r="B59" s="8" t="str">
        <f t="shared" si="0"/>
        <v>1404</v>
      </c>
      <c r="C59" s="9">
        <v>34</v>
      </c>
      <c r="D59" s="9">
        <v>35</v>
      </c>
      <c r="E59" s="9">
        <v>36</v>
      </c>
      <c r="F59" s="9">
        <v>37</v>
      </c>
      <c r="G59" s="85"/>
      <c r="H59" s="86"/>
      <c r="I59" s="86"/>
      <c r="J59" s="86"/>
      <c r="K59" s="87"/>
      <c r="L59" s="91"/>
      <c r="O59" s="6"/>
    </row>
    <row r="60" spans="1:18">
      <c r="A60" s="98">
        <v>15</v>
      </c>
      <c r="B60" s="8" t="str">
        <f t="shared" si="0"/>
        <v>1501</v>
      </c>
      <c r="C60" s="9">
        <v>43</v>
      </c>
      <c r="D60" s="9">
        <v>44</v>
      </c>
      <c r="E60" s="9">
        <v>45</v>
      </c>
      <c r="F60" s="9">
        <v>46</v>
      </c>
      <c r="G60" s="9">
        <v>59</v>
      </c>
      <c r="H60" s="9">
        <v>60</v>
      </c>
      <c r="I60" s="9">
        <v>61</v>
      </c>
      <c r="J60" s="9">
        <v>62</v>
      </c>
      <c r="K60" s="9">
        <v>63</v>
      </c>
      <c r="L60" s="91"/>
      <c r="O60" s="6"/>
    </row>
    <row r="61" spans="1:18">
      <c r="A61" s="106"/>
      <c r="B61" s="8" t="str">
        <f t="shared" si="0"/>
        <v>1502</v>
      </c>
      <c r="C61" s="11">
        <v>47</v>
      </c>
      <c r="D61" s="9">
        <v>48</v>
      </c>
      <c r="E61" s="9">
        <v>49</v>
      </c>
      <c r="F61" s="9">
        <v>50</v>
      </c>
      <c r="G61" s="82"/>
      <c r="H61" s="83"/>
      <c r="I61" s="83"/>
      <c r="J61" s="83"/>
      <c r="K61" s="84"/>
      <c r="L61" s="91"/>
      <c r="O61" s="6"/>
    </row>
    <row r="62" spans="1:18">
      <c r="A62" s="106"/>
      <c r="B62" s="8" t="str">
        <f t="shared" si="0"/>
        <v>1503</v>
      </c>
      <c r="C62" s="9">
        <v>51</v>
      </c>
      <c r="D62" s="11">
        <v>52</v>
      </c>
      <c r="E62" s="11">
        <v>53</v>
      </c>
      <c r="F62" s="9">
        <v>54</v>
      </c>
      <c r="G62" s="107"/>
      <c r="H62" s="108"/>
      <c r="I62" s="108"/>
      <c r="J62" s="108"/>
      <c r="K62" s="109"/>
      <c r="L62" s="91"/>
      <c r="O62" s="6"/>
    </row>
    <row r="63" spans="1:18">
      <c r="A63" s="99"/>
      <c r="B63" s="8" t="str">
        <f t="shared" si="0"/>
        <v>1504</v>
      </c>
      <c r="C63" s="9">
        <v>55</v>
      </c>
      <c r="D63" s="9">
        <v>56</v>
      </c>
      <c r="E63" s="9">
        <v>57</v>
      </c>
      <c r="F63" s="9">
        <v>58</v>
      </c>
      <c r="G63" s="85"/>
      <c r="H63" s="86"/>
      <c r="I63" s="86"/>
      <c r="J63" s="86"/>
      <c r="K63" s="87"/>
      <c r="L63" s="91"/>
      <c r="O63" s="6"/>
    </row>
    <row r="64" spans="1:18">
      <c r="A64" s="98">
        <v>16</v>
      </c>
      <c r="B64" s="8" t="str">
        <f t="shared" si="0"/>
        <v>1601</v>
      </c>
      <c r="C64" s="9">
        <v>1</v>
      </c>
      <c r="D64" s="9">
        <v>2</v>
      </c>
      <c r="E64" s="11">
        <v>3</v>
      </c>
      <c r="F64" s="11">
        <v>4</v>
      </c>
      <c r="G64" s="9">
        <v>17</v>
      </c>
      <c r="H64" s="9">
        <v>18</v>
      </c>
      <c r="I64" s="9">
        <v>19</v>
      </c>
      <c r="J64" s="9">
        <v>20</v>
      </c>
      <c r="K64" s="9">
        <v>21</v>
      </c>
      <c r="L64" s="91" t="s">
        <v>20</v>
      </c>
      <c r="O64" s="6"/>
    </row>
    <row r="65" spans="1:15">
      <c r="A65" s="106"/>
      <c r="B65" s="8" t="str">
        <f t="shared" si="0"/>
        <v>1602</v>
      </c>
      <c r="C65" s="11">
        <v>5</v>
      </c>
      <c r="D65" s="9">
        <v>6</v>
      </c>
      <c r="E65" s="11">
        <v>7</v>
      </c>
      <c r="F65" s="11">
        <v>8</v>
      </c>
      <c r="G65" s="82"/>
      <c r="H65" s="83"/>
      <c r="I65" s="83"/>
      <c r="J65" s="83"/>
      <c r="K65" s="84"/>
      <c r="L65" s="91"/>
      <c r="O65" s="6"/>
    </row>
    <row r="66" spans="1:15">
      <c r="A66" s="106"/>
      <c r="B66" s="8" t="str">
        <f t="shared" si="0"/>
        <v>1603</v>
      </c>
      <c r="C66" s="9">
        <v>9</v>
      </c>
      <c r="D66" s="9">
        <v>10</v>
      </c>
      <c r="E66" s="9">
        <v>11</v>
      </c>
      <c r="F66" s="9">
        <v>12</v>
      </c>
      <c r="G66" s="107"/>
      <c r="H66" s="108"/>
      <c r="I66" s="108"/>
      <c r="J66" s="108"/>
      <c r="K66" s="109"/>
      <c r="L66" s="91"/>
      <c r="O66" s="6"/>
    </row>
    <row r="67" spans="1:15">
      <c r="A67" s="99"/>
      <c r="B67" s="8" t="str">
        <f t="shared" si="0"/>
        <v>1604</v>
      </c>
      <c r="C67" s="9">
        <v>13</v>
      </c>
      <c r="D67" s="9">
        <v>14</v>
      </c>
      <c r="E67" s="9">
        <v>15</v>
      </c>
      <c r="F67" s="9">
        <v>16</v>
      </c>
      <c r="G67" s="85"/>
      <c r="H67" s="86"/>
      <c r="I67" s="86"/>
      <c r="J67" s="86"/>
      <c r="K67" s="87"/>
      <c r="L67" s="91"/>
      <c r="O67" s="6"/>
    </row>
    <row r="68" spans="1:15">
      <c r="A68" s="98">
        <v>17</v>
      </c>
      <c r="B68" s="8" t="str">
        <f t="shared" si="0"/>
        <v>1701</v>
      </c>
      <c r="C68" s="9">
        <v>22</v>
      </c>
      <c r="D68" s="9">
        <v>23</v>
      </c>
      <c r="E68" s="9">
        <v>24</v>
      </c>
      <c r="F68" s="9">
        <v>25</v>
      </c>
      <c r="G68" s="9">
        <v>38</v>
      </c>
      <c r="H68" s="9">
        <v>39</v>
      </c>
      <c r="I68" s="9">
        <v>40</v>
      </c>
      <c r="J68" s="9">
        <v>41</v>
      </c>
      <c r="K68" s="9">
        <v>42</v>
      </c>
      <c r="L68" s="91"/>
      <c r="O68" s="6"/>
    </row>
    <row r="69" spans="1:15">
      <c r="A69" s="106"/>
      <c r="B69" s="8" t="str">
        <f t="shared" ref="B69:B103" si="1">INT((ROW()-4)/4)+1 &amp; TEXT(MOD(ROW()-4,4)+1,"00")</f>
        <v>1702</v>
      </c>
      <c r="C69" s="9">
        <v>26</v>
      </c>
      <c r="D69" s="9">
        <v>27</v>
      </c>
      <c r="E69" s="11">
        <v>28</v>
      </c>
      <c r="F69" s="11">
        <v>29</v>
      </c>
      <c r="G69" s="82"/>
      <c r="H69" s="83"/>
      <c r="I69" s="83"/>
      <c r="J69" s="83"/>
      <c r="K69" s="84"/>
      <c r="L69" s="91"/>
      <c r="O69" s="6"/>
    </row>
    <row r="70" spans="1:15">
      <c r="A70" s="106"/>
      <c r="B70" s="8" t="str">
        <f t="shared" si="1"/>
        <v>1703</v>
      </c>
      <c r="C70" s="11">
        <v>30</v>
      </c>
      <c r="D70" s="9">
        <v>31</v>
      </c>
      <c r="E70" s="11">
        <v>32</v>
      </c>
      <c r="F70" s="11">
        <v>33</v>
      </c>
      <c r="G70" s="107"/>
      <c r="H70" s="108"/>
      <c r="I70" s="108"/>
      <c r="J70" s="108"/>
      <c r="K70" s="109"/>
      <c r="L70" s="91"/>
      <c r="O70" s="6"/>
    </row>
    <row r="71" spans="1:15">
      <c r="A71" s="99"/>
      <c r="B71" s="8" t="str">
        <f t="shared" si="1"/>
        <v>1704</v>
      </c>
      <c r="C71" s="9">
        <v>34</v>
      </c>
      <c r="D71" s="9">
        <v>35</v>
      </c>
      <c r="E71" s="9">
        <v>36</v>
      </c>
      <c r="F71" s="9">
        <v>37</v>
      </c>
      <c r="G71" s="85"/>
      <c r="H71" s="86"/>
      <c r="I71" s="86"/>
      <c r="J71" s="86"/>
      <c r="K71" s="87"/>
      <c r="L71" s="91"/>
      <c r="O71" s="6"/>
    </row>
    <row r="72" spans="1:15">
      <c r="A72" s="98">
        <v>18</v>
      </c>
      <c r="B72" s="8" t="str">
        <f t="shared" si="1"/>
        <v>1801</v>
      </c>
      <c r="C72" s="11">
        <v>43</v>
      </c>
      <c r="D72" s="11">
        <v>44</v>
      </c>
      <c r="E72" s="9">
        <v>45</v>
      </c>
      <c r="F72" s="11">
        <v>46</v>
      </c>
      <c r="G72" s="9">
        <v>59</v>
      </c>
      <c r="H72" s="9">
        <v>60</v>
      </c>
      <c r="I72" s="9">
        <v>61</v>
      </c>
      <c r="J72" s="9">
        <v>62</v>
      </c>
      <c r="K72" s="9">
        <v>63</v>
      </c>
      <c r="L72" s="91"/>
      <c r="O72" s="6"/>
    </row>
    <row r="73" spans="1:15">
      <c r="A73" s="106"/>
      <c r="B73" s="8" t="str">
        <f t="shared" si="1"/>
        <v>1802</v>
      </c>
      <c r="C73" s="11">
        <v>47</v>
      </c>
      <c r="D73" s="9">
        <v>48</v>
      </c>
      <c r="E73" s="9">
        <v>49</v>
      </c>
      <c r="F73" s="9">
        <v>50</v>
      </c>
      <c r="G73" s="82"/>
      <c r="H73" s="83"/>
      <c r="I73" s="83"/>
      <c r="J73" s="83"/>
      <c r="K73" s="84"/>
      <c r="L73" s="91"/>
      <c r="O73" s="6"/>
    </row>
    <row r="74" spans="1:15">
      <c r="A74" s="106"/>
      <c r="B74" s="8" t="str">
        <f t="shared" si="1"/>
        <v>1803</v>
      </c>
      <c r="C74" s="11">
        <v>51</v>
      </c>
      <c r="D74" s="11">
        <v>52</v>
      </c>
      <c r="E74" s="11">
        <v>53</v>
      </c>
      <c r="F74" s="11">
        <v>54</v>
      </c>
      <c r="G74" s="107"/>
      <c r="H74" s="108"/>
      <c r="I74" s="108"/>
      <c r="J74" s="108"/>
      <c r="K74" s="109"/>
      <c r="L74" s="91"/>
      <c r="O74" s="6"/>
    </row>
    <row r="75" spans="1:15">
      <c r="A75" s="99"/>
      <c r="B75" s="8" t="str">
        <f t="shared" si="1"/>
        <v>1804</v>
      </c>
      <c r="C75" s="9">
        <v>55</v>
      </c>
      <c r="D75" s="9">
        <v>56</v>
      </c>
      <c r="E75" s="9">
        <v>57</v>
      </c>
      <c r="F75" s="9">
        <v>58</v>
      </c>
      <c r="G75" s="85"/>
      <c r="H75" s="86"/>
      <c r="I75" s="86"/>
      <c r="J75" s="86"/>
      <c r="K75" s="87"/>
      <c r="L75" s="91"/>
      <c r="O75" s="6"/>
    </row>
    <row r="76" spans="1:15">
      <c r="A76" s="98">
        <v>19</v>
      </c>
      <c r="B76" s="8" t="str">
        <f t="shared" si="1"/>
        <v>1901</v>
      </c>
      <c r="C76" s="9">
        <v>1</v>
      </c>
      <c r="D76" s="9">
        <v>2</v>
      </c>
      <c r="E76" s="9">
        <v>3</v>
      </c>
      <c r="F76" s="9">
        <v>4</v>
      </c>
      <c r="G76" s="9">
        <v>17</v>
      </c>
      <c r="H76" s="9">
        <v>18</v>
      </c>
      <c r="I76" s="9">
        <v>19</v>
      </c>
      <c r="J76" s="9">
        <v>20</v>
      </c>
      <c r="K76" s="9">
        <v>21</v>
      </c>
      <c r="L76" s="91" t="s">
        <v>21</v>
      </c>
      <c r="O76" s="6"/>
    </row>
    <row r="77" spans="1:15">
      <c r="A77" s="106"/>
      <c r="B77" s="8" t="str">
        <f t="shared" si="1"/>
        <v>1902</v>
      </c>
      <c r="C77" s="9">
        <v>5</v>
      </c>
      <c r="D77" s="9">
        <v>6</v>
      </c>
      <c r="E77" s="11">
        <v>7</v>
      </c>
      <c r="F77" s="9">
        <v>8</v>
      </c>
      <c r="G77" s="82"/>
      <c r="H77" s="83"/>
      <c r="I77" s="83"/>
      <c r="J77" s="83"/>
      <c r="K77" s="84"/>
      <c r="L77" s="91"/>
      <c r="O77" s="6"/>
    </row>
    <row r="78" spans="1:15">
      <c r="A78" s="106"/>
      <c r="B78" s="8" t="str">
        <f t="shared" si="1"/>
        <v>1903</v>
      </c>
      <c r="C78" s="11">
        <v>9</v>
      </c>
      <c r="D78" s="11">
        <v>10</v>
      </c>
      <c r="E78" s="9">
        <v>11</v>
      </c>
      <c r="F78" s="11">
        <v>12</v>
      </c>
      <c r="G78" s="107"/>
      <c r="H78" s="108"/>
      <c r="I78" s="108"/>
      <c r="J78" s="108"/>
      <c r="K78" s="109"/>
      <c r="L78" s="91"/>
      <c r="O78" s="6"/>
    </row>
    <row r="79" spans="1:15">
      <c r="A79" s="99"/>
      <c r="B79" s="8" t="str">
        <f t="shared" si="1"/>
        <v>1904</v>
      </c>
      <c r="C79" s="11">
        <v>13</v>
      </c>
      <c r="D79" s="9">
        <v>14</v>
      </c>
      <c r="E79" s="9">
        <v>15</v>
      </c>
      <c r="F79" s="11">
        <v>16</v>
      </c>
      <c r="G79" s="85"/>
      <c r="H79" s="86"/>
      <c r="I79" s="86"/>
      <c r="J79" s="86"/>
      <c r="K79" s="87"/>
      <c r="L79" s="91"/>
      <c r="O79" s="6"/>
    </row>
    <row r="80" spans="1:15">
      <c r="A80" s="98">
        <v>20</v>
      </c>
      <c r="B80" s="8" t="str">
        <f t="shared" si="1"/>
        <v>2001</v>
      </c>
      <c r="C80" s="9">
        <v>22</v>
      </c>
      <c r="D80" s="9">
        <v>23</v>
      </c>
      <c r="E80" s="9">
        <v>24</v>
      </c>
      <c r="F80" s="9">
        <v>25</v>
      </c>
      <c r="G80" s="9">
        <v>38</v>
      </c>
      <c r="H80" s="9">
        <v>39</v>
      </c>
      <c r="I80" s="9">
        <v>40</v>
      </c>
      <c r="J80" s="9">
        <v>41</v>
      </c>
      <c r="K80" s="9">
        <v>42</v>
      </c>
      <c r="L80" s="91"/>
      <c r="O80" s="6"/>
    </row>
    <row r="81" spans="1:19">
      <c r="A81" s="106"/>
      <c r="B81" s="8" t="str">
        <f t="shared" si="1"/>
        <v>2002</v>
      </c>
      <c r="C81" s="9">
        <v>26</v>
      </c>
      <c r="D81" s="9">
        <v>27</v>
      </c>
      <c r="E81" s="9">
        <v>28</v>
      </c>
      <c r="F81" s="9">
        <v>29</v>
      </c>
      <c r="G81" s="82"/>
      <c r="H81" s="83"/>
      <c r="I81" s="83"/>
      <c r="J81" s="83"/>
      <c r="K81" s="84"/>
      <c r="L81" s="91"/>
      <c r="O81" s="6"/>
    </row>
    <row r="82" spans="1:19">
      <c r="A82" s="106"/>
      <c r="B82" s="8" t="str">
        <f t="shared" si="1"/>
        <v>2003</v>
      </c>
      <c r="C82" s="11">
        <v>30</v>
      </c>
      <c r="D82" s="11">
        <v>31</v>
      </c>
      <c r="E82" s="9">
        <v>32</v>
      </c>
      <c r="F82" s="9">
        <v>33</v>
      </c>
      <c r="G82" s="107"/>
      <c r="H82" s="108"/>
      <c r="I82" s="108"/>
      <c r="J82" s="108"/>
      <c r="K82" s="109"/>
      <c r="L82" s="91"/>
      <c r="O82" s="6"/>
    </row>
    <row r="83" spans="1:19">
      <c r="A83" s="99"/>
      <c r="B83" s="8" t="str">
        <f t="shared" si="1"/>
        <v>2004</v>
      </c>
      <c r="C83" s="11">
        <v>34</v>
      </c>
      <c r="D83" s="11">
        <v>35</v>
      </c>
      <c r="E83" s="9">
        <v>36</v>
      </c>
      <c r="F83" s="11">
        <v>37</v>
      </c>
      <c r="G83" s="85"/>
      <c r="H83" s="86"/>
      <c r="I83" s="86"/>
      <c r="J83" s="86"/>
      <c r="K83" s="87"/>
      <c r="L83" s="91"/>
      <c r="O83" s="6"/>
    </row>
    <row r="84" spans="1:19">
      <c r="A84" s="98">
        <v>21</v>
      </c>
      <c r="B84" s="8" t="str">
        <f t="shared" si="1"/>
        <v>2101</v>
      </c>
      <c r="C84" s="9">
        <v>43</v>
      </c>
      <c r="D84" s="11">
        <v>44</v>
      </c>
      <c r="E84" s="11">
        <v>45</v>
      </c>
      <c r="F84" s="9">
        <v>46</v>
      </c>
      <c r="G84" s="9">
        <v>59</v>
      </c>
      <c r="H84" s="9">
        <v>60</v>
      </c>
      <c r="I84" s="9">
        <v>61</v>
      </c>
      <c r="J84" s="9">
        <v>62</v>
      </c>
      <c r="K84" s="9">
        <v>63</v>
      </c>
      <c r="L84" s="91"/>
      <c r="O84" s="6"/>
    </row>
    <row r="85" spans="1:19">
      <c r="A85" s="106"/>
      <c r="B85" s="8" t="str">
        <f t="shared" si="1"/>
        <v>2102</v>
      </c>
      <c r="C85" s="9">
        <v>47</v>
      </c>
      <c r="D85" s="9">
        <v>48</v>
      </c>
      <c r="E85" s="9">
        <v>49</v>
      </c>
      <c r="F85" s="9">
        <v>50</v>
      </c>
      <c r="G85" s="82"/>
      <c r="H85" s="83"/>
      <c r="I85" s="83"/>
      <c r="J85" s="83"/>
      <c r="K85" s="84"/>
      <c r="L85" s="91"/>
      <c r="O85" s="6"/>
    </row>
    <row r="86" spans="1:19">
      <c r="A86" s="106"/>
      <c r="B86" s="8" t="str">
        <f t="shared" si="1"/>
        <v>2103</v>
      </c>
      <c r="C86" s="9">
        <v>51</v>
      </c>
      <c r="D86" s="9">
        <v>52</v>
      </c>
      <c r="E86" s="9">
        <v>53</v>
      </c>
      <c r="F86" s="9">
        <v>54</v>
      </c>
      <c r="G86" s="107"/>
      <c r="H86" s="108"/>
      <c r="I86" s="108"/>
      <c r="J86" s="108"/>
      <c r="K86" s="109"/>
      <c r="L86" s="91"/>
    </row>
    <row r="87" spans="1:19">
      <c r="A87" s="99"/>
      <c r="B87" s="8" t="str">
        <f t="shared" si="1"/>
        <v>2104</v>
      </c>
      <c r="C87" s="9">
        <v>55</v>
      </c>
      <c r="D87" s="11">
        <v>56</v>
      </c>
      <c r="E87" s="11">
        <v>57</v>
      </c>
      <c r="F87" s="11">
        <v>58</v>
      </c>
      <c r="G87" s="85"/>
      <c r="H87" s="86"/>
      <c r="I87" s="86"/>
      <c r="J87" s="86"/>
      <c r="K87" s="87"/>
      <c r="L87" s="91"/>
    </row>
    <row r="88" spans="1:19">
      <c r="A88" s="98">
        <v>22</v>
      </c>
      <c r="B88" s="8" t="str">
        <f t="shared" si="1"/>
        <v>2201</v>
      </c>
      <c r="C88" s="9">
        <v>64</v>
      </c>
      <c r="D88" s="9">
        <v>65</v>
      </c>
      <c r="E88" s="9">
        <v>66</v>
      </c>
      <c r="F88" s="9">
        <v>67</v>
      </c>
      <c r="G88" s="9">
        <v>80</v>
      </c>
      <c r="H88" s="9">
        <v>81</v>
      </c>
      <c r="I88" s="9">
        <v>82</v>
      </c>
      <c r="J88" s="9">
        <v>83</v>
      </c>
      <c r="K88" s="9">
        <v>84</v>
      </c>
      <c r="L88" s="91"/>
      <c r="N88" s="6"/>
    </row>
    <row r="89" spans="1:19">
      <c r="A89" s="106"/>
      <c r="B89" s="8" t="str">
        <f t="shared" si="1"/>
        <v>2202</v>
      </c>
      <c r="C89" s="9">
        <v>68</v>
      </c>
      <c r="D89" s="9">
        <v>69</v>
      </c>
      <c r="E89" s="11">
        <v>70</v>
      </c>
      <c r="F89" s="9">
        <v>71</v>
      </c>
      <c r="G89" s="82"/>
      <c r="H89" s="83"/>
      <c r="I89" s="83"/>
      <c r="J89" s="83"/>
      <c r="K89" s="84"/>
      <c r="L89" s="91"/>
      <c r="N89" s="6"/>
    </row>
    <row r="90" spans="1:19">
      <c r="A90" s="106"/>
      <c r="B90" s="8" t="str">
        <f t="shared" si="1"/>
        <v>2203</v>
      </c>
      <c r="C90" s="9">
        <v>72</v>
      </c>
      <c r="D90" s="9">
        <v>73</v>
      </c>
      <c r="E90" s="9">
        <v>74</v>
      </c>
      <c r="F90" s="9">
        <v>75</v>
      </c>
      <c r="G90" s="107"/>
      <c r="H90" s="108"/>
      <c r="I90" s="108"/>
      <c r="J90" s="108"/>
      <c r="K90" s="109"/>
      <c r="L90" s="91"/>
      <c r="N90" s="6"/>
    </row>
    <row r="91" spans="1:19">
      <c r="A91" s="99"/>
      <c r="B91" s="8" t="str">
        <f t="shared" si="1"/>
        <v>2204</v>
      </c>
      <c r="C91" s="11">
        <v>76</v>
      </c>
      <c r="D91" s="9">
        <v>77</v>
      </c>
      <c r="E91" s="11">
        <v>78</v>
      </c>
      <c r="F91" s="11">
        <v>79</v>
      </c>
      <c r="G91" s="85"/>
      <c r="H91" s="86"/>
      <c r="I91" s="86"/>
      <c r="J91" s="86"/>
      <c r="K91" s="87"/>
      <c r="L91" s="91"/>
      <c r="N91" s="6"/>
    </row>
    <row r="92" spans="1:19">
      <c r="A92" s="98">
        <v>23</v>
      </c>
      <c r="B92" s="8" t="str">
        <f t="shared" si="1"/>
        <v>2301</v>
      </c>
      <c r="C92" s="9">
        <v>1</v>
      </c>
      <c r="D92" s="11">
        <v>2</v>
      </c>
      <c r="E92" s="9">
        <v>3</v>
      </c>
      <c r="F92" s="11">
        <v>4</v>
      </c>
      <c r="G92" s="9">
        <v>17</v>
      </c>
      <c r="H92" s="9">
        <v>18</v>
      </c>
      <c r="I92" s="9">
        <v>19</v>
      </c>
      <c r="J92" s="9">
        <v>20</v>
      </c>
      <c r="K92" s="20">
        <v>21</v>
      </c>
      <c r="L92" s="100" t="s">
        <v>22</v>
      </c>
      <c r="N92" s="6"/>
      <c r="S92" s="18"/>
    </row>
    <row r="93" spans="1:19">
      <c r="A93" s="106"/>
      <c r="B93" s="8" t="str">
        <f t="shared" si="1"/>
        <v>2302</v>
      </c>
      <c r="C93" s="11">
        <v>5</v>
      </c>
      <c r="D93" s="11">
        <v>6</v>
      </c>
      <c r="E93" s="9">
        <v>7</v>
      </c>
      <c r="F93" s="9">
        <v>8</v>
      </c>
      <c r="G93" s="82"/>
      <c r="H93" s="83"/>
      <c r="I93" s="83"/>
      <c r="J93" s="83"/>
      <c r="K93" s="83"/>
      <c r="L93" s="101"/>
      <c r="N93" s="6"/>
    </row>
    <row r="94" spans="1:19">
      <c r="A94" s="106"/>
      <c r="B94" s="8" t="str">
        <f t="shared" si="1"/>
        <v>2303</v>
      </c>
      <c r="C94" s="9">
        <v>9</v>
      </c>
      <c r="D94" s="9">
        <v>10</v>
      </c>
      <c r="E94" s="9">
        <v>11</v>
      </c>
      <c r="F94" s="9">
        <v>12</v>
      </c>
      <c r="G94" s="107"/>
      <c r="H94" s="108"/>
      <c r="I94" s="108"/>
      <c r="J94" s="108"/>
      <c r="K94" s="108"/>
      <c r="L94" s="101"/>
      <c r="N94" s="6"/>
    </row>
    <row r="95" spans="1:19">
      <c r="A95" s="99"/>
      <c r="B95" s="8" t="str">
        <f t="shared" si="1"/>
        <v>2304</v>
      </c>
      <c r="C95" s="9">
        <v>13</v>
      </c>
      <c r="D95" s="9">
        <v>14</v>
      </c>
      <c r="E95" s="9">
        <v>15</v>
      </c>
      <c r="F95" s="9">
        <v>16</v>
      </c>
      <c r="G95" s="85"/>
      <c r="H95" s="86"/>
      <c r="I95" s="86"/>
      <c r="J95" s="86"/>
      <c r="K95" s="86"/>
      <c r="L95" s="101"/>
      <c r="N95" s="6"/>
    </row>
    <row r="96" spans="1:19">
      <c r="A96" s="98">
        <v>24</v>
      </c>
      <c r="B96" s="8" t="str">
        <f t="shared" si="1"/>
        <v>2401</v>
      </c>
      <c r="C96" s="9">
        <v>22</v>
      </c>
      <c r="D96" s="11">
        <v>23</v>
      </c>
      <c r="E96" s="9">
        <v>24</v>
      </c>
      <c r="F96" s="9">
        <v>25</v>
      </c>
      <c r="G96" s="9">
        <v>38</v>
      </c>
      <c r="H96" s="9">
        <v>39</v>
      </c>
      <c r="I96" s="9">
        <v>40</v>
      </c>
      <c r="J96" s="9">
        <v>41</v>
      </c>
      <c r="K96" s="20">
        <v>42</v>
      </c>
      <c r="L96" s="101"/>
      <c r="N96" s="6"/>
    </row>
    <row r="97" spans="1:15">
      <c r="A97" s="106"/>
      <c r="B97" s="8" t="str">
        <f t="shared" si="1"/>
        <v>2402</v>
      </c>
      <c r="C97" s="9">
        <v>26</v>
      </c>
      <c r="D97" s="9">
        <v>27</v>
      </c>
      <c r="E97" s="11">
        <v>28</v>
      </c>
      <c r="F97" s="9">
        <v>29</v>
      </c>
      <c r="G97" s="82"/>
      <c r="H97" s="83"/>
      <c r="I97" s="83"/>
      <c r="J97" s="83"/>
      <c r="K97" s="83"/>
      <c r="L97" s="101"/>
      <c r="N97" s="6"/>
    </row>
    <row r="98" spans="1:15">
      <c r="A98" s="106"/>
      <c r="B98" s="8" t="str">
        <f t="shared" si="1"/>
        <v>2403</v>
      </c>
      <c r="C98" s="11">
        <v>30</v>
      </c>
      <c r="D98" s="9">
        <v>31</v>
      </c>
      <c r="E98" s="9">
        <v>32</v>
      </c>
      <c r="F98" s="11">
        <v>33</v>
      </c>
      <c r="G98" s="107"/>
      <c r="H98" s="108"/>
      <c r="I98" s="108"/>
      <c r="J98" s="108"/>
      <c r="K98" s="108"/>
      <c r="L98" s="101"/>
      <c r="N98" s="6"/>
      <c r="O98" s="6"/>
    </row>
    <row r="99" spans="1:15">
      <c r="A99" s="99"/>
      <c r="B99" s="8" t="str">
        <f t="shared" si="1"/>
        <v>2404</v>
      </c>
      <c r="C99" s="9">
        <v>34</v>
      </c>
      <c r="D99" s="9">
        <v>35</v>
      </c>
      <c r="E99" s="9">
        <v>36</v>
      </c>
      <c r="F99" s="9">
        <v>37</v>
      </c>
      <c r="G99" s="85"/>
      <c r="H99" s="86"/>
      <c r="I99" s="86"/>
      <c r="J99" s="86"/>
      <c r="K99" s="86"/>
      <c r="L99" s="101"/>
      <c r="N99" s="6"/>
      <c r="O99" s="6"/>
    </row>
    <row r="100" spans="1:15">
      <c r="A100" s="98">
        <v>25</v>
      </c>
      <c r="B100" s="8" t="str">
        <f t="shared" si="1"/>
        <v>2501</v>
      </c>
      <c r="C100" s="9">
        <v>43</v>
      </c>
      <c r="D100" s="9">
        <v>44</v>
      </c>
      <c r="E100" s="9">
        <v>45</v>
      </c>
      <c r="F100" s="9">
        <v>46</v>
      </c>
      <c r="G100" s="9">
        <v>59</v>
      </c>
      <c r="H100" s="9">
        <v>60</v>
      </c>
      <c r="I100" s="9">
        <v>61</v>
      </c>
      <c r="J100" s="9">
        <v>62</v>
      </c>
      <c r="K100" s="20">
        <v>63</v>
      </c>
      <c r="L100" s="101"/>
      <c r="O100" s="6"/>
    </row>
    <row r="101" spans="1:15">
      <c r="A101" s="106"/>
      <c r="B101" s="8" t="str">
        <f t="shared" si="1"/>
        <v>2502</v>
      </c>
      <c r="C101" s="9">
        <v>47</v>
      </c>
      <c r="D101" s="9">
        <v>48</v>
      </c>
      <c r="E101" s="9">
        <v>49</v>
      </c>
      <c r="F101" s="9">
        <v>50</v>
      </c>
      <c r="G101" s="82"/>
      <c r="H101" s="83"/>
      <c r="I101" s="83"/>
      <c r="J101" s="83"/>
      <c r="K101" s="83"/>
      <c r="L101" s="101"/>
      <c r="O101" s="6"/>
    </row>
    <row r="102" spans="1:15">
      <c r="A102" s="106"/>
      <c r="B102" s="8" t="str">
        <f t="shared" si="1"/>
        <v>2503</v>
      </c>
      <c r="C102" s="9">
        <v>51</v>
      </c>
      <c r="D102" s="9">
        <v>52</v>
      </c>
      <c r="E102" s="11">
        <v>53</v>
      </c>
      <c r="F102" s="9">
        <v>54</v>
      </c>
      <c r="G102" s="107"/>
      <c r="H102" s="108"/>
      <c r="I102" s="108"/>
      <c r="J102" s="108"/>
      <c r="K102" s="108"/>
      <c r="L102" s="101"/>
      <c r="O102" s="6"/>
    </row>
    <row r="103" spans="1:15">
      <c r="A103" s="99"/>
      <c r="B103" s="8" t="str">
        <f t="shared" si="1"/>
        <v>2504</v>
      </c>
      <c r="C103" s="11">
        <v>55</v>
      </c>
      <c r="D103" s="11">
        <v>56</v>
      </c>
      <c r="E103" s="11">
        <v>57</v>
      </c>
      <c r="F103" s="9">
        <v>58</v>
      </c>
      <c r="G103" s="85"/>
      <c r="H103" s="86"/>
      <c r="I103" s="86"/>
      <c r="J103" s="86"/>
      <c r="K103" s="86"/>
      <c r="L103" s="101"/>
      <c r="O103" s="6"/>
    </row>
    <row r="104" spans="1:15">
      <c r="A104" s="98">
        <v>26</v>
      </c>
      <c r="B104" s="98" t="s">
        <v>25</v>
      </c>
      <c r="C104" s="9">
        <v>86</v>
      </c>
      <c r="D104" s="9">
        <v>87</v>
      </c>
      <c r="E104" s="9">
        <v>88</v>
      </c>
      <c r="F104" s="9">
        <v>89</v>
      </c>
      <c r="G104" s="19"/>
      <c r="H104" s="7"/>
      <c r="I104" s="9">
        <v>90</v>
      </c>
      <c r="J104" s="9">
        <v>91</v>
      </c>
      <c r="K104" s="9">
        <v>92</v>
      </c>
      <c r="L104" s="101"/>
      <c r="O104" s="6"/>
    </row>
    <row r="105" spans="1:15">
      <c r="A105" s="106"/>
      <c r="B105" s="106"/>
      <c r="C105" s="7"/>
      <c r="D105" s="7"/>
      <c r="E105" s="7"/>
      <c r="F105" s="7"/>
      <c r="G105" s="110"/>
      <c r="H105" s="111"/>
      <c r="I105" s="111"/>
      <c r="J105" s="112"/>
      <c r="K105" s="9">
        <v>93</v>
      </c>
      <c r="L105" s="101"/>
      <c r="O105" s="6"/>
    </row>
    <row r="106" spans="1:15">
      <c r="A106" s="99"/>
      <c r="B106" s="99"/>
      <c r="C106" s="7"/>
      <c r="D106" s="7"/>
      <c r="E106" s="7"/>
      <c r="F106" s="7"/>
      <c r="G106" s="113"/>
      <c r="H106" s="114"/>
      <c r="I106" s="114"/>
      <c r="J106" s="115"/>
      <c r="K106" s="9">
        <v>94</v>
      </c>
      <c r="L106" s="102"/>
      <c r="O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</sheetData>
  <mergeCells count="81">
    <mergeCell ref="A92:A95"/>
    <mergeCell ref="L92:L106"/>
    <mergeCell ref="G93:K95"/>
    <mergeCell ref="A96:A99"/>
    <mergeCell ref="G97:K99"/>
    <mergeCell ref="A100:A103"/>
    <mergeCell ref="G101:K103"/>
    <mergeCell ref="A104:A106"/>
    <mergeCell ref="B104:B106"/>
    <mergeCell ref="G105:J106"/>
    <mergeCell ref="A76:A79"/>
    <mergeCell ref="L76:L91"/>
    <mergeCell ref="G77:K79"/>
    <mergeCell ref="A80:A83"/>
    <mergeCell ref="G81:K83"/>
    <mergeCell ref="A84:A87"/>
    <mergeCell ref="G85:K87"/>
    <mergeCell ref="A88:A91"/>
    <mergeCell ref="G89:K91"/>
    <mergeCell ref="A64:A67"/>
    <mergeCell ref="L64:L75"/>
    <mergeCell ref="G65:K67"/>
    <mergeCell ref="A68:A71"/>
    <mergeCell ref="G69:K71"/>
    <mergeCell ref="A72:A75"/>
    <mergeCell ref="G73:K75"/>
    <mergeCell ref="G49:K51"/>
    <mergeCell ref="A52:A55"/>
    <mergeCell ref="L52:L63"/>
    <mergeCell ref="G53:K55"/>
    <mergeCell ref="A56:A59"/>
    <mergeCell ref="G57:K59"/>
    <mergeCell ref="A60:A63"/>
    <mergeCell ref="G61:K63"/>
    <mergeCell ref="A28:A31"/>
    <mergeCell ref="L28:L39"/>
    <mergeCell ref="G29:K31"/>
    <mergeCell ref="S29:S32"/>
    <mergeCell ref="A32:A35"/>
    <mergeCell ref="G33:K35"/>
    <mergeCell ref="S34:S37"/>
    <mergeCell ref="A36:A39"/>
    <mergeCell ref="G37:K39"/>
    <mergeCell ref="S39:S42"/>
    <mergeCell ref="A40:A43"/>
    <mergeCell ref="L40:L51"/>
    <mergeCell ref="G41:K43"/>
    <mergeCell ref="A44:A47"/>
    <mergeCell ref="G45:K47"/>
    <mergeCell ref="A48:A51"/>
    <mergeCell ref="A20:A23"/>
    <mergeCell ref="G21:K23"/>
    <mergeCell ref="A24:A27"/>
    <mergeCell ref="S24:S27"/>
    <mergeCell ref="G25:K27"/>
    <mergeCell ref="O3:P3"/>
    <mergeCell ref="A4:A7"/>
    <mergeCell ref="L4:L15"/>
    <mergeCell ref="N4:N7"/>
    <mergeCell ref="S4:S7"/>
    <mergeCell ref="G5:K7"/>
    <mergeCell ref="A8:A11"/>
    <mergeCell ref="G9:K11"/>
    <mergeCell ref="S9:S12"/>
    <mergeCell ref="A12:A15"/>
    <mergeCell ref="G13:K15"/>
    <mergeCell ref="S14:S17"/>
    <mergeCell ref="A16:A19"/>
    <mergeCell ref="L16:L27"/>
    <mergeCell ref="G17:K19"/>
    <mergeCell ref="S19:S22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</mergeCells>
  <conditionalFormatting sqref="F10">
    <cfRule type="cellIs" dxfId="33" priority="16" operator="equal">
      <formula>"Ногоон"</formula>
    </cfRule>
    <cfRule type="cellIs" dxfId="32" priority="17" operator="equal">
      <formula>"Улаан"</formula>
    </cfRule>
  </conditionalFormatting>
  <conditionalFormatting sqref="C4:K4 C8:K8 C5:G5 C6:F7 C12:K12 C9:G9 C10:F11 C100:K100 C13:G13 C14:F15 C16:K16 C20:K20 C17:G17 C18:F19 C24:K24 C21:G21 C22:F23 C25:G25 C26:F27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 C101:G101 C102:F104 G104 I104:K104 K105:K106">
    <cfRule type="cellIs" dxfId="31" priority="15" operator="equal">
      <formula>"Улаан"</formula>
    </cfRule>
  </conditionalFormatting>
  <conditionalFormatting sqref="F22">
    <cfRule type="cellIs" dxfId="30" priority="13" operator="equal">
      <formula>"Ногоон"</formula>
    </cfRule>
    <cfRule type="cellIs" dxfId="29" priority="14" operator="equal">
      <formula>"Улаан"</formula>
    </cfRule>
  </conditionalFormatting>
  <conditionalFormatting sqref="F34">
    <cfRule type="cellIs" dxfId="28" priority="11" operator="equal">
      <formula>"Ногоон"</formula>
    </cfRule>
    <cfRule type="cellIs" dxfId="27" priority="12" operator="equal">
      <formula>"Улаан"</formula>
    </cfRule>
  </conditionalFormatting>
  <conditionalFormatting sqref="F46">
    <cfRule type="cellIs" dxfId="26" priority="9" operator="equal">
      <formula>"Ногоон"</formula>
    </cfRule>
    <cfRule type="cellIs" dxfId="25" priority="10" operator="equal">
      <formula>"Улаан"</formula>
    </cfRule>
  </conditionalFormatting>
  <conditionalFormatting sqref="F58">
    <cfRule type="cellIs" dxfId="24" priority="7" operator="equal">
      <formula>"Ногоон"</formula>
    </cfRule>
    <cfRule type="cellIs" dxfId="23" priority="8" operator="equal">
      <formula>"Улаан"</formula>
    </cfRule>
  </conditionalFormatting>
  <conditionalFormatting sqref="F70">
    <cfRule type="cellIs" dxfId="22" priority="5" operator="equal">
      <formula>"Ногоон"</formula>
    </cfRule>
    <cfRule type="cellIs" dxfId="21" priority="6" operator="equal">
      <formula>"Улаан"</formula>
    </cfRule>
  </conditionalFormatting>
  <conditionalFormatting sqref="F82">
    <cfRule type="cellIs" dxfId="20" priority="3" operator="equal">
      <formula>"Ногоон"</formula>
    </cfRule>
    <cfRule type="cellIs" dxfId="19" priority="4" operator="equal">
      <formula>"Улаан"</formula>
    </cfRule>
  </conditionalFormatting>
  <conditionalFormatting sqref="F94">
    <cfRule type="cellIs" dxfId="18" priority="1" operator="equal">
      <formula>"Ногоон"</formula>
    </cfRule>
    <cfRule type="cellIs" dxfId="17" priority="2" operator="equal">
      <formula>"Улаан"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241FA-096E-44B3-B65B-CBD0F7A4D43E}">
  <dimension ref="A1:V109"/>
  <sheetViews>
    <sheetView topLeftCell="K1" workbookViewId="0">
      <selection activeCell="N8" sqref="N8"/>
    </sheetView>
  </sheetViews>
  <sheetFormatPr defaultRowHeight="15"/>
  <cols>
    <col min="14" max="14" width="9.7109375" bestFit="1" customWidth="1"/>
    <col min="15" max="15" width="14.5703125" bestFit="1" customWidth="1"/>
    <col min="20" max="20" width="14.5703125" bestFit="1" customWidth="1"/>
  </cols>
  <sheetData>
    <row r="1" spans="1:22">
      <c r="A1" s="77">
        <v>224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9"/>
      <c r="M1" s="2"/>
      <c r="N1" s="3"/>
      <c r="O1" s="4"/>
      <c r="P1" s="3"/>
      <c r="Q1" s="3"/>
      <c r="R1" s="3"/>
      <c r="S1" s="3"/>
      <c r="T1" s="3"/>
      <c r="U1" s="3"/>
      <c r="V1" s="3"/>
    </row>
    <row r="2" spans="1:22">
      <c r="A2" s="80" t="s">
        <v>1</v>
      </c>
      <c r="B2" s="81" t="s">
        <v>2</v>
      </c>
      <c r="C2" s="82" t="s">
        <v>3</v>
      </c>
      <c r="D2" s="83"/>
      <c r="E2" s="83"/>
      <c r="F2" s="83"/>
      <c r="G2" s="88" t="s">
        <v>4</v>
      </c>
      <c r="H2" s="88" t="s">
        <v>4</v>
      </c>
      <c r="I2" s="81" t="s">
        <v>5</v>
      </c>
      <c r="J2" s="89" t="s">
        <v>6</v>
      </c>
      <c r="K2" s="81" t="s">
        <v>7</v>
      </c>
      <c r="L2" s="80" t="s">
        <v>8</v>
      </c>
      <c r="M2" s="2"/>
      <c r="O2" s="5"/>
      <c r="P2" s="2"/>
      <c r="Q2" s="2"/>
      <c r="R2" s="2"/>
      <c r="T2" s="2"/>
      <c r="U2" s="2"/>
      <c r="V2" s="2"/>
    </row>
    <row r="3" spans="1:22">
      <c r="A3" s="80"/>
      <c r="B3" s="81"/>
      <c r="C3" s="85"/>
      <c r="D3" s="86"/>
      <c r="E3" s="86"/>
      <c r="F3" s="86"/>
      <c r="G3" s="88"/>
      <c r="H3" s="88"/>
      <c r="I3" s="81"/>
      <c r="J3" s="89"/>
      <c r="K3" s="81"/>
      <c r="L3" s="80"/>
      <c r="M3" s="2"/>
      <c r="O3" s="90"/>
      <c r="P3" s="90"/>
      <c r="Q3" s="18"/>
      <c r="R3" s="2"/>
      <c r="S3" s="2"/>
      <c r="T3" s="2"/>
      <c r="V3" s="2"/>
    </row>
    <row r="4" spans="1:22">
      <c r="A4" s="98">
        <v>1</v>
      </c>
      <c r="B4" s="8" t="str">
        <f>INT((ROW()-4)/4)+1 &amp; TEXT(MOD(ROW()-4,4)+1,"00")</f>
        <v>101</v>
      </c>
      <c r="C4" s="9">
        <v>1</v>
      </c>
      <c r="D4" s="9">
        <v>2</v>
      </c>
      <c r="E4" s="9">
        <v>3</v>
      </c>
      <c r="F4" s="9">
        <v>4</v>
      </c>
      <c r="G4" s="11">
        <v>17</v>
      </c>
      <c r="H4" s="11">
        <v>18</v>
      </c>
      <c r="I4" s="9">
        <v>19</v>
      </c>
      <c r="J4" s="9">
        <v>20</v>
      </c>
      <c r="K4" s="9">
        <v>21</v>
      </c>
      <c r="L4" s="100" t="s">
        <v>9</v>
      </c>
      <c r="N4" s="92">
        <v>46000</v>
      </c>
      <c r="O4" s="12" t="s">
        <v>10</v>
      </c>
      <c r="P4" s="13">
        <f>SUM(P5:P7)</f>
        <v>525</v>
      </c>
      <c r="Q4" s="73">
        <v>1</v>
      </c>
      <c r="S4" s="92" t="s">
        <v>9</v>
      </c>
      <c r="T4" s="12" t="s">
        <v>10</v>
      </c>
      <c r="U4" s="13">
        <f>SUM(U5:U7)</f>
        <v>126</v>
      </c>
      <c r="V4" s="72">
        <v>1</v>
      </c>
    </row>
    <row r="5" spans="1:22">
      <c r="A5" s="106"/>
      <c r="B5" s="8" t="str">
        <f t="shared" ref="B5:B68" si="0">INT((ROW()-4)/4)+1 &amp; TEXT(MOD(ROW()-4,4)+1,"00")</f>
        <v>102</v>
      </c>
      <c r="C5" s="9">
        <v>5</v>
      </c>
      <c r="D5" s="9">
        <v>6</v>
      </c>
      <c r="E5" s="11">
        <v>7</v>
      </c>
      <c r="F5" s="11">
        <v>8</v>
      </c>
      <c r="G5" s="82"/>
      <c r="H5" s="83"/>
      <c r="I5" s="83"/>
      <c r="J5" s="83"/>
      <c r="K5" s="84"/>
      <c r="L5" s="101"/>
      <c r="N5" s="93"/>
      <c r="O5" s="14" t="s">
        <v>11</v>
      </c>
      <c r="P5" s="13" cm="1">
        <f t="array" ref="P5">CountByColor(C4:K103, O5)</f>
        <v>40</v>
      </c>
      <c r="Q5" s="74">
        <v>7.6200000000000004E-2</v>
      </c>
      <c r="S5" s="93"/>
      <c r="T5" s="14" t="s">
        <v>11</v>
      </c>
      <c r="U5" s="13" cm="1">
        <f t="array" ref="U5">CountByColor(C4:K27, T5)</f>
        <v>17</v>
      </c>
      <c r="V5" s="71">
        <v>0.13489999999999999</v>
      </c>
    </row>
    <row r="6" spans="1:22">
      <c r="A6" s="106"/>
      <c r="B6" s="8" t="str">
        <f t="shared" si="0"/>
        <v>103</v>
      </c>
      <c r="C6" s="9">
        <v>9</v>
      </c>
      <c r="D6" s="9">
        <v>10</v>
      </c>
      <c r="E6" s="10">
        <v>11</v>
      </c>
      <c r="F6" s="9">
        <v>12</v>
      </c>
      <c r="G6" s="107"/>
      <c r="H6" s="108"/>
      <c r="I6" s="108"/>
      <c r="J6" s="108"/>
      <c r="K6" s="109"/>
      <c r="L6" s="101"/>
      <c r="N6" s="93"/>
      <c r="O6" s="15" t="s">
        <v>12</v>
      </c>
      <c r="P6" s="13" cm="1">
        <f t="array" ref="P6">CountByColor(C4:K103, O6)</f>
        <v>59</v>
      </c>
      <c r="Q6" s="74">
        <v>0.1124</v>
      </c>
      <c r="S6" s="93"/>
      <c r="T6" s="15" t="s">
        <v>12</v>
      </c>
      <c r="U6" s="13" cm="1">
        <f t="array" ref="U6">CountByColor(C4:K27, T6)</f>
        <v>8</v>
      </c>
      <c r="V6" s="71">
        <v>6.3500000000000001E-2</v>
      </c>
    </row>
    <row r="7" spans="1:22">
      <c r="A7" s="99"/>
      <c r="B7" s="8" t="str">
        <f t="shared" si="0"/>
        <v>104</v>
      </c>
      <c r="C7" s="11">
        <v>13</v>
      </c>
      <c r="D7" s="9">
        <v>14</v>
      </c>
      <c r="E7" s="9">
        <v>15</v>
      </c>
      <c r="F7" s="11">
        <v>16</v>
      </c>
      <c r="G7" s="85"/>
      <c r="H7" s="86"/>
      <c r="I7" s="86"/>
      <c r="J7" s="86"/>
      <c r="K7" s="87"/>
      <c r="L7" s="101"/>
      <c r="N7" s="94"/>
      <c r="O7" s="16" t="s">
        <v>13</v>
      </c>
      <c r="P7" s="13" cm="1">
        <f t="array" ref="P7">CountByColor(C4:K103, O7)</f>
        <v>426</v>
      </c>
      <c r="Q7" s="74">
        <v>0.81140000000000001</v>
      </c>
      <c r="S7" s="94"/>
      <c r="T7" s="16" t="s">
        <v>13</v>
      </c>
      <c r="U7" s="13" cm="1">
        <f t="array" ref="U7">CountByColor(C4:K27, T7)</f>
        <v>101</v>
      </c>
      <c r="V7" s="71">
        <v>0.80159999999999998</v>
      </c>
    </row>
    <row r="8" spans="1:22">
      <c r="A8" s="98">
        <v>2</v>
      </c>
      <c r="B8" s="8" t="str">
        <f t="shared" si="0"/>
        <v>201</v>
      </c>
      <c r="C8" s="9">
        <v>22</v>
      </c>
      <c r="D8" s="9">
        <v>23</v>
      </c>
      <c r="E8" s="9">
        <v>24</v>
      </c>
      <c r="F8" s="9">
        <v>25</v>
      </c>
      <c r="G8" s="10">
        <v>38</v>
      </c>
      <c r="H8" s="9">
        <v>39</v>
      </c>
      <c r="I8" s="9">
        <v>40</v>
      </c>
      <c r="J8" s="9">
        <v>41</v>
      </c>
      <c r="K8" s="9">
        <v>42</v>
      </c>
      <c r="L8" s="101"/>
      <c r="N8" s="21"/>
      <c r="T8" s="1"/>
      <c r="U8" s="1"/>
    </row>
    <row r="9" spans="1:22">
      <c r="A9" s="106"/>
      <c r="B9" s="8" t="str">
        <f t="shared" si="0"/>
        <v>202</v>
      </c>
      <c r="C9" s="9">
        <v>26</v>
      </c>
      <c r="D9" s="9">
        <v>27</v>
      </c>
      <c r="E9" s="11">
        <v>28</v>
      </c>
      <c r="F9" s="9">
        <v>29</v>
      </c>
      <c r="G9" s="82"/>
      <c r="H9" s="83"/>
      <c r="I9" s="83"/>
      <c r="J9" s="83"/>
      <c r="K9" s="84"/>
      <c r="L9" s="101"/>
      <c r="S9" s="92" t="s">
        <v>14</v>
      </c>
      <c r="T9" s="12" t="s">
        <v>10</v>
      </c>
      <c r="U9" s="13">
        <f>SUM(U10:U12)</f>
        <v>126</v>
      </c>
      <c r="V9" s="72">
        <v>1</v>
      </c>
    </row>
    <row r="10" spans="1:22">
      <c r="A10" s="106"/>
      <c r="B10" s="8" t="str">
        <f t="shared" si="0"/>
        <v>203</v>
      </c>
      <c r="C10" s="10">
        <v>30</v>
      </c>
      <c r="D10" s="11">
        <v>31</v>
      </c>
      <c r="E10" s="10">
        <v>32</v>
      </c>
      <c r="F10" s="9">
        <v>33</v>
      </c>
      <c r="G10" s="107"/>
      <c r="H10" s="108"/>
      <c r="I10" s="108"/>
      <c r="J10" s="108"/>
      <c r="K10" s="109"/>
      <c r="L10" s="101"/>
      <c r="S10" s="93"/>
      <c r="T10" s="14" t="s">
        <v>11</v>
      </c>
      <c r="U10" s="13" cm="1">
        <f t="array" ref="U10">CountByColor(C28:K51, T10)</f>
        <v>6</v>
      </c>
      <c r="V10" s="71">
        <v>4.7600000000000003E-2</v>
      </c>
    </row>
    <row r="11" spans="1:22">
      <c r="A11" s="99"/>
      <c r="B11" s="8" t="str">
        <f t="shared" si="0"/>
        <v>204</v>
      </c>
      <c r="C11" s="9">
        <v>34</v>
      </c>
      <c r="D11" s="9">
        <v>35</v>
      </c>
      <c r="E11" s="9">
        <v>36</v>
      </c>
      <c r="F11" s="9">
        <v>37</v>
      </c>
      <c r="G11" s="85"/>
      <c r="H11" s="86"/>
      <c r="I11" s="86"/>
      <c r="J11" s="86"/>
      <c r="K11" s="87"/>
      <c r="L11" s="101"/>
      <c r="S11" s="93"/>
      <c r="T11" s="15" t="s">
        <v>12</v>
      </c>
      <c r="U11" s="13" cm="1">
        <f t="array" ref="U11">CountByColor(C28:K51, T11)</f>
        <v>27</v>
      </c>
      <c r="V11" s="71">
        <v>0.21429999999999999</v>
      </c>
    </row>
    <row r="12" spans="1:22">
      <c r="A12" s="98">
        <v>3</v>
      </c>
      <c r="B12" s="8" t="str">
        <f t="shared" si="0"/>
        <v>301</v>
      </c>
      <c r="C12" s="9">
        <v>43</v>
      </c>
      <c r="D12" s="9">
        <v>44</v>
      </c>
      <c r="E12" s="9">
        <v>45</v>
      </c>
      <c r="F12" s="9">
        <v>46</v>
      </c>
      <c r="G12" s="9">
        <v>59</v>
      </c>
      <c r="H12" s="9">
        <v>60</v>
      </c>
      <c r="I12" s="9">
        <v>61</v>
      </c>
      <c r="J12" s="9">
        <v>62</v>
      </c>
      <c r="K12" s="10">
        <v>63</v>
      </c>
      <c r="L12" s="101"/>
      <c r="S12" s="94"/>
      <c r="T12" s="16" t="s">
        <v>13</v>
      </c>
      <c r="U12" s="13" cm="1">
        <f t="array" ref="U12">CountByColor(C28:K51, T12)</f>
        <v>93</v>
      </c>
      <c r="V12" s="71">
        <v>0.73809999999999998</v>
      </c>
    </row>
    <row r="13" spans="1:22">
      <c r="A13" s="106"/>
      <c r="B13" s="8" t="str">
        <f t="shared" si="0"/>
        <v>302</v>
      </c>
      <c r="C13" s="9">
        <v>47</v>
      </c>
      <c r="D13" s="9">
        <v>48</v>
      </c>
      <c r="E13" s="9">
        <v>49</v>
      </c>
      <c r="F13" s="9">
        <v>50</v>
      </c>
      <c r="G13" s="82"/>
      <c r="H13" s="83"/>
      <c r="I13" s="83"/>
      <c r="J13" s="83"/>
      <c r="K13" s="84"/>
      <c r="L13" s="101"/>
      <c r="S13" s="1"/>
    </row>
    <row r="14" spans="1:22">
      <c r="A14" s="106"/>
      <c r="B14" s="8" t="str">
        <f t="shared" si="0"/>
        <v>303</v>
      </c>
      <c r="C14" s="9">
        <v>51</v>
      </c>
      <c r="D14" s="9">
        <v>52</v>
      </c>
      <c r="E14" s="9">
        <v>53</v>
      </c>
      <c r="F14" s="9">
        <v>54</v>
      </c>
      <c r="G14" s="107"/>
      <c r="H14" s="108"/>
      <c r="I14" s="108"/>
      <c r="J14" s="108"/>
      <c r="K14" s="109"/>
      <c r="L14" s="101"/>
      <c r="S14" s="92" t="s">
        <v>15</v>
      </c>
      <c r="T14" s="12" t="s">
        <v>10</v>
      </c>
      <c r="U14" s="13">
        <f>SUM(U15:U17)</f>
        <v>126</v>
      </c>
      <c r="V14" s="72">
        <v>1</v>
      </c>
    </row>
    <row r="15" spans="1:22">
      <c r="A15" s="99"/>
      <c r="B15" s="8" t="str">
        <f t="shared" si="0"/>
        <v>304</v>
      </c>
      <c r="C15" s="9">
        <v>55</v>
      </c>
      <c r="D15" s="9">
        <v>56</v>
      </c>
      <c r="E15" s="9">
        <v>57</v>
      </c>
      <c r="F15" s="9">
        <v>58</v>
      </c>
      <c r="G15" s="85"/>
      <c r="H15" s="86"/>
      <c r="I15" s="86"/>
      <c r="J15" s="86"/>
      <c r="K15" s="87"/>
      <c r="L15" s="101"/>
      <c r="S15" s="93"/>
      <c r="T15" s="14" t="s">
        <v>11</v>
      </c>
      <c r="U15" s="13" cm="1">
        <f t="array" ref="U15">CountByColor(C52:K75, T15)</f>
        <v>6</v>
      </c>
      <c r="V15" s="71">
        <v>4.7600000000000003E-2</v>
      </c>
    </row>
    <row r="16" spans="1:22">
      <c r="A16" s="98">
        <v>4</v>
      </c>
      <c r="B16" s="8" t="str">
        <f t="shared" si="0"/>
        <v>401</v>
      </c>
      <c r="C16" s="9">
        <v>64</v>
      </c>
      <c r="D16" s="9">
        <v>65</v>
      </c>
      <c r="E16" s="11">
        <v>66</v>
      </c>
      <c r="F16" s="11">
        <v>67</v>
      </c>
      <c r="G16" s="9">
        <v>80</v>
      </c>
      <c r="H16" s="10">
        <v>81</v>
      </c>
      <c r="I16" s="9">
        <v>82</v>
      </c>
      <c r="J16" s="9">
        <v>83</v>
      </c>
      <c r="K16" s="9">
        <v>84</v>
      </c>
      <c r="L16" s="101"/>
      <c r="S16" s="93"/>
      <c r="T16" s="15" t="s">
        <v>12</v>
      </c>
      <c r="U16" s="13" cm="1">
        <f t="array" ref="U16">CountByColor(C52:K75, T16)</f>
        <v>9</v>
      </c>
      <c r="V16" s="71">
        <v>7.1400000000000005E-2</v>
      </c>
    </row>
    <row r="17" spans="1:22">
      <c r="A17" s="106"/>
      <c r="B17" s="8" t="str">
        <f t="shared" si="0"/>
        <v>402</v>
      </c>
      <c r="C17" s="9">
        <v>68</v>
      </c>
      <c r="D17" s="9">
        <v>69</v>
      </c>
      <c r="E17" s="11">
        <v>70</v>
      </c>
      <c r="F17" s="9">
        <v>71</v>
      </c>
      <c r="G17" s="82"/>
      <c r="H17" s="83"/>
      <c r="I17" s="83"/>
      <c r="J17" s="83"/>
      <c r="K17" s="84"/>
      <c r="L17" s="101"/>
      <c r="S17" s="94"/>
      <c r="T17" s="16" t="s">
        <v>13</v>
      </c>
      <c r="U17" s="13" cm="1">
        <f t="array" ref="U17">CountByColor(C52:K75, T17)</f>
        <v>111</v>
      </c>
      <c r="V17" s="71">
        <v>0.88100000000000001</v>
      </c>
    </row>
    <row r="18" spans="1:22">
      <c r="A18" s="106"/>
      <c r="B18" s="8" t="str">
        <f t="shared" si="0"/>
        <v>403</v>
      </c>
      <c r="C18" s="9">
        <v>72</v>
      </c>
      <c r="D18" s="9">
        <v>73</v>
      </c>
      <c r="E18" s="9">
        <v>74</v>
      </c>
      <c r="F18" s="11">
        <v>75</v>
      </c>
      <c r="G18" s="107"/>
      <c r="H18" s="108"/>
      <c r="I18" s="108"/>
      <c r="J18" s="108"/>
      <c r="K18" s="109"/>
      <c r="L18" s="101"/>
      <c r="S18" s="1"/>
    </row>
    <row r="19" spans="1:22">
      <c r="A19" s="99"/>
      <c r="B19" s="8" t="str">
        <f t="shared" si="0"/>
        <v>404</v>
      </c>
      <c r="C19" s="9">
        <v>76</v>
      </c>
      <c r="D19" s="9">
        <v>77</v>
      </c>
      <c r="E19" s="9">
        <v>78</v>
      </c>
      <c r="F19" s="9">
        <v>79</v>
      </c>
      <c r="G19" s="85"/>
      <c r="H19" s="86"/>
      <c r="I19" s="86"/>
      <c r="J19" s="86"/>
      <c r="K19" s="87"/>
      <c r="L19" s="101"/>
      <c r="S19" s="92" t="s">
        <v>16</v>
      </c>
      <c r="T19" s="12" t="s">
        <v>10</v>
      </c>
      <c r="U19" s="13">
        <f>SUM(U20:U22)</f>
        <v>147</v>
      </c>
      <c r="V19" s="72">
        <v>1</v>
      </c>
    </row>
    <row r="20" spans="1:22">
      <c r="A20" s="98">
        <v>5</v>
      </c>
      <c r="B20" s="8" t="str">
        <f t="shared" si="0"/>
        <v>501</v>
      </c>
      <c r="C20" s="10">
        <v>85</v>
      </c>
      <c r="D20" s="9">
        <v>86</v>
      </c>
      <c r="E20" s="9">
        <v>87</v>
      </c>
      <c r="F20" s="9">
        <v>88</v>
      </c>
      <c r="G20" s="10">
        <v>101</v>
      </c>
      <c r="H20" s="9">
        <v>102</v>
      </c>
      <c r="I20" s="9">
        <v>103</v>
      </c>
      <c r="J20" s="9">
        <v>104</v>
      </c>
      <c r="K20" s="9">
        <v>105</v>
      </c>
      <c r="L20" s="101"/>
      <c r="S20" s="93"/>
      <c r="T20" s="14" t="s">
        <v>11</v>
      </c>
      <c r="U20" s="13" cm="1">
        <f t="array" ref="U20">CountByColor(C76:K103, T20)</f>
        <v>11</v>
      </c>
      <c r="V20" s="71">
        <v>7.4800000000000005E-2</v>
      </c>
    </row>
    <row r="21" spans="1:22">
      <c r="A21" s="106"/>
      <c r="B21" s="8" t="str">
        <f t="shared" si="0"/>
        <v>502</v>
      </c>
      <c r="C21" s="11">
        <v>89</v>
      </c>
      <c r="D21" s="9">
        <v>90</v>
      </c>
      <c r="E21" s="11">
        <v>91</v>
      </c>
      <c r="F21" s="9">
        <v>92</v>
      </c>
      <c r="G21" s="82"/>
      <c r="H21" s="83"/>
      <c r="I21" s="83"/>
      <c r="J21" s="83"/>
      <c r="K21" s="84"/>
      <c r="L21" s="101"/>
      <c r="R21" s="1"/>
      <c r="S21" s="93"/>
      <c r="T21" s="15" t="s">
        <v>12</v>
      </c>
      <c r="U21" s="13" cm="1">
        <f t="array" ref="U21">CountByColor(C76:K103, T21)</f>
        <v>15</v>
      </c>
      <c r="V21" s="71">
        <v>0.10199999999999999</v>
      </c>
    </row>
    <row r="22" spans="1:22">
      <c r="A22" s="106"/>
      <c r="B22" s="8" t="str">
        <f t="shared" si="0"/>
        <v>503</v>
      </c>
      <c r="C22" s="9">
        <v>93</v>
      </c>
      <c r="D22" s="9">
        <v>94</v>
      </c>
      <c r="E22" s="9">
        <v>95</v>
      </c>
      <c r="F22" s="9">
        <v>96</v>
      </c>
      <c r="G22" s="107"/>
      <c r="H22" s="108"/>
      <c r="I22" s="108"/>
      <c r="J22" s="108"/>
      <c r="K22" s="109"/>
      <c r="L22" s="101"/>
      <c r="S22" s="94"/>
      <c r="T22" s="16" t="s">
        <v>13</v>
      </c>
      <c r="U22" s="13" cm="1">
        <f t="array" ref="U22">CountByColor(C76:K103, T22)</f>
        <v>121</v>
      </c>
      <c r="V22" s="71">
        <v>0.82310000000000005</v>
      </c>
    </row>
    <row r="23" spans="1:22">
      <c r="A23" s="99"/>
      <c r="B23" s="8" t="str">
        <f t="shared" si="0"/>
        <v>504</v>
      </c>
      <c r="C23" s="9">
        <v>97</v>
      </c>
      <c r="D23" s="9">
        <v>98</v>
      </c>
      <c r="E23" s="9">
        <v>99</v>
      </c>
      <c r="F23" s="9">
        <v>100</v>
      </c>
      <c r="G23" s="85"/>
      <c r="H23" s="86"/>
      <c r="I23" s="86"/>
      <c r="J23" s="86"/>
      <c r="K23" s="87"/>
      <c r="L23" s="101"/>
      <c r="S23" s="1"/>
    </row>
    <row r="24" spans="1:22">
      <c r="A24" s="98">
        <v>6</v>
      </c>
      <c r="B24" s="8" t="str">
        <f t="shared" si="0"/>
        <v>601</v>
      </c>
      <c r="C24" s="9">
        <v>106</v>
      </c>
      <c r="D24" s="11">
        <v>107</v>
      </c>
      <c r="E24" s="9">
        <v>108</v>
      </c>
      <c r="F24" s="9">
        <v>109</v>
      </c>
      <c r="G24" s="9">
        <v>122</v>
      </c>
      <c r="H24" s="9">
        <v>123</v>
      </c>
      <c r="I24" s="9">
        <v>124</v>
      </c>
      <c r="J24" s="9">
        <v>125</v>
      </c>
      <c r="K24" s="9">
        <v>126</v>
      </c>
      <c r="L24" s="101"/>
    </row>
    <row r="25" spans="1:22">
      <c r="A25" s="106"/>
      <c r="B25" s="8" t="str">
        <f t="shared" si="0"/>
        <v>602</v>
      </c>
      <c r="C25" s="9">
        <v>110</v>
      </c>
      <c r="D25" s="9">
        <v>111</v>
      </c>
      <c r="E25" s="9">
        <v>112</v>
      </c>
      <c r="F25" s="9">
        <v>113</v>
      </c>
      <c r="G25" s="82"/>
      <c r="H25" s="83"/>
      <c r="I25" s="83"/>
      <c r="J25" s="83"/>
      <c r="K25" s="84"/>
      <c r="L25" s="101"/>
    </row>
    <row r="26" spans="1:22">
      <c r="A26" s="106"/>
      <c r="B26" s="8" t="str">
        <f t="shared" si="0"/>
        <v>603</v>
      </c>
      <c r="C26" s="9">
        <v>114</v>
      </c>
      <c r="D26" s="11">
        <v>115</v>
      </c>
      <c r="E26" s="11">
        <v>116</v>
      </c>
      <c r="F26" s="9">
        <v>117</v>
      </c>
      <c r="G26" s="107"/>
      <c r="H26" s="108"/>
      <c r="I26" s="108"/>
      <c r="J26" s="108"/>
      <c r="K26" s="109"/>
      <c r="L26" s="101"/>
    </row>
    <row r="27" spans="1:22">
      <c r="A27" s="99"/>
      <c r="B27" s="8" t="str">
        <f t="shared" si="0"/>
        <v>604</v>
      </c>
      <c r="C27" s="9">
        <v>118</v>
      </c>
      <c r="D27" s="9">
        <v>119</v>
      </c>
      <c r="E27" s="9">
        <v>120</v>
      </c>
      <c r="F27" s="9">
        <v>121</v>
      </c>
      <c r="G27" s="85"/>
      <c r="H27" s="86"/>
      <c r="I27" s="86"/>
      <c r="J27" s="86"/>
      <c r="K27" s="87"/>
      <c r="L27" s="102"/>
    </row>
    <row r="28" spans="1:22">
      <c r="A28" s="98">
        <v>7</v>
      </c>
      <c r="B28" s="8" t="str">
        <f t="shared" si="0"/>
        <v>701</v>
      </c>
      <c r="C28" s="9">
        <v>1</v>
      </c>
      <c r="D28" s="9">
        <v>2</v>
      </c>
      <c r="E28" s="9">
        <v>3</v>
      </c>
      <c r="F28" s="9">
        <v>4</v>
      </c>
      <c r="G28" s="9">
        <v>17</v>
      </c>
      <c r="H28" s="9">
        <v>18</v>
      </c>
      <c r="I28" s="9">
        <v>19</v>
      </c>
      <c r="J28" s="9">
        <v>20</v>
      </c>
      <c r="K28" s="9">
        <v>21</v>
      </c>
      <c r="L28" s="100" t="s">
        <v>14</v>
      </c>
    </row>
    <row r="29" spans="1:22">
      <c r="A29" s="106"/>
      <c r="B29" s="8" t="str">
        <f t="shared" si="0"/>
        <v>702</v>
      </c>
      <c r="C29" s="9">
        <v>5</v>
      </c>
      <c r="D29" s="9">
        <v>6</v>
      </c>
      <c r="E29" s="9">
        <v>7</v>
      </c>
      <c r="F29" s="9">
        <v>8</v>
      </c>
      <c r="G29" s="82"/>
      <c r="H29" s="83"/>
      <c r="I29" s="83"/>
      <c r="J29" s="83"/>
      <c r="K29" s="84"/>
      <c r="L29" s="101"/>
    </row>
    <row r="30" spans="1:22">
      <c r="A30" s="106"/>
      <c r="B30" s="8" t="str">
        <f t="shared" si="0"/>
        <v>703</v>
      </c>
      <c r="C30" s="9">
        <v>9</v>
      </c>
      <c r="D30" s="9">
        <v>10</v>
      </c>
      <c r="E30" s="9">
        <v>11</v>
      </c>
      <c r="F30" s="9">
        <v>12</v>
      </c>
      <c r="G30" s="107"/>
      <c r="H30" s="108"/>
      <c r="I30" s="108"/>
      <c r="J30" s="108"/>
      <c r="K30" s="109"/>
      <c r="L30" s="101"/>
    </row>
    <row r="31" spans="1:22">
      <c r="A31" s="99"/>
      <c r="B31" s="8" t="str">
        <f t="shared" si="0"/>
        <v>704</v>
      </c>
      <c r="C31" s="9">
        <v>13</v>
      </c>
      <c r="D31" s="9">
        <v>14</v>
      </c>
      <c r="E31" s="9">
        <v>15</v>
      </c>
      <c r="F31" s="9">
        <v>16</v>
      </c>
      <c r="G31" s="85"/>
      <c r="H31" s="86"/>
      <c r="I31" s="86"/>
      <c r="J31" s="86"/>
      <c r="K31" s="87"/>
      <c r="L31" s="101"/>
      <c r="O31" s="6"/>
    </row>
    <row r="32" spans="1:22">
      <c r="A32" s="98">
        <v>8</v>
      </c>
      <c r="B32" s="8" t="str">
        <f t="shared" si="0"/>
        <v>801</v>
      </c>
      <c r="C32" s="9">
        <v>22</v>
      </c>
      <c r="D32" s="11">
        <v>23</v>
      </c>
      <c r="E32" s="9">
        <v>24</v>
      </c>
      <c r="F32" s="9">
        <v>25</v>
      </c>
      <c r="G32" s="9">
        <v>38</v>
      </c>
      <c r="H32" s="9">
        <v>39</v>
      </c>
      <c r="I32" s="9">
        <v>40</v>
      </c>
      <c r="J32" s="9">
        <v>41</v>
      </c>
      <c r="K32" s="9">
        <v>42</v>
      </c>
      <c r="L32" s="101"/>
      <c r="O32" s="6"/>
    </row>
    <row r="33" spans="1:18">
      <c r="A33" s="106"/>
      <c r="B33" s="8" t="str">
        <f t="shared" si="0"/>
        <v>802</v>
      </c>
      <c r="C33" s="9">
        <v>26</v>
      </c>
      <c r="D33" s="9">
        <v>27</v>
      </c>
      <c r="E33" s="9">
        <v>28</v>
      </c>
      <c r="F33" s="9">
        <v>29</v>
      </c>
      <c r="G33" s="82"/>
      <c r="H33" s="83"/>
      <c r="I33" s="83"/>
      <c r="J33" s="83"/>
      <c r="K33" s="84"/>
      <c r="L33" s="101"/>
      <c r="O33" s="6"/>
    </row>
    <row r="34" spans="1:18">
      <c r="A34" s="106"/>
      <c r="B34" s="8" t="str">
        <f t="shared" si="0"/>
        <v>803</v>
      </c>
      <c r="C34" s="9">
        <v>30</v>
      </c>
      <c r="D34" s="11">
        <v>31</v>
      </c>
      <c r="E34" s="10">
        <v>32</v>
      </c>
      <c r="F34" s="9">
        <v>33</v>
      </c>
      <c r="G34" s="107"/>
      <c r="H34" s="108"/>
      <c r="I34" s="108"/>
      <c r="J34" s="108"/>
      <c r="K34" s="109"/>
      <c r="L34" s="101"/>
      <c r="O34" s="6"/>
    </row>
    <row r="35" spans="1:18">
      <c r="A35" s="99"/>
      <c r="B35" s="8" t="str">
        <f t="shared" si="0"/>
        <v>804</v>
      </c>
      <c r="C35" s="9">
        <v>34</v>
      </c>
      <c r="D35" s="9">
        <v>35</v>
      </c>
      <c r="E35" s="9">
        <v>36</v>
      </c>
      <c r="F35" s="9">
        <v>37</v>
      </c>
      <c r="G35" s="85"/>
      <c r="H35" s="86"/>
      <c r="I35" s="86"/>
      <c r="J35" s="86"/>
      <c r="K35" s="87"/>
      <c r="L35" s="101"/>
      <c r="O35" s="6"/>
    </row>
    <row r="36" spans="1:18">
      <c r="A36" s="98">
        <v>9</v>
      </c>
      <c r="B36" s="8" t="str">
        <f t="shared" si="0"/>
        <v>901</v>
      </c>
      <c r="C36" s="9">
        <v>43</v>
      </c>
      <c r="D36" s="11">
        <v>44</v>
      </c>
      <c r="E36" s="11">
        <v>45</v>
      </c>
      <c r="F36" s="9">
        <v>46</v>
      </c>
      <c r="G36" s="9">
        <v>59</v>
      </c>
      <c r="H36" s="9">
        <v>60</v>
      </c>
      <c r="I36" s="9">
        <v>61</v>
      </c>
      <c r="J36" s="9">
        <v>62</v>
      </c>
      <c r="K36" s="9">
        <v>63</v>
      </c>
      <c r="L36" s="101"/>
      <c r="N36" s="1"/>
      <c r="O36" s="6"/>
    </row>
    <row r="37" spans="1:18">
      <c r="A37" s="106"/>
      <c r="B37" s="8" t="str">
        <f t="shared" si="0"/>
        <v>902</v>
      </c>
      <c r="C37" s="9">
        <v>47</v>
      </c>
      <c r="D37" s="10">
        <v>48</v>
      </c>
      <c r="E37" s="9">
        <v>49</v>
      </c>
      <c r="F37" s="9">
        <v>50</v>
      </c>
      <c r="G37" s="82"/>
      <c r="H37" s="83"/>
      <c r="I37" s="83"/>
      <c r="J37" s="83"/>
      <c r="K37" s="84"/>
      <c r="L37" s="101"/>
      <c r="N37" s="1"/>
      <c r="O37" s="6"/>
    </row>
    <row r="38" spans="1:18">
      <c r="A38" s="106"/>
      <c r="B38" s="8" t="str">
        <f t="shared" si="0"/>
        <v>903</v>
      </c>
      <c r="C38" s="9">
        <v>51</v>
      </c>
      <c r="D38" s="11">
        <v>52</v>
      </c>
      <c r="E38" s="9">
        <v>53</v>
      </c>
      <c r="F38" s="9">
        <v>54</v>
      </c>
      <c r="G38" s="107"/>
      <c r="H38" s="108"/>
      <c r="I38" s="108"/>
      <c r="J38" s="108"/>
      <c r="K38" s="109"/>
      <c r="L38" s="101"/>
      <c r="N38" s="1"/>
    </row>
    <row r="39" spans="1:18">
      <c r="A39" s="99"/>
      <c r="B39" s="8" t="str">
        <f t="shared" si="0"/>
        <v>904</v>
      </c>
      <c r="C39" s="9">
        <v>55</v>
      </c>
      <c r="D39" s="9">
        <v>56</v>
      </c>
      <c r="E39" s="9">
        <v>57</v>
      </c>
      <c r="F39" s="9">
        <v>58</v>
      </c>
      <c r="G39" s="85"/>
      <c r="H39" s="86"/>
      <c r="I39" s="86"/>
      <c r="J39" s="86"/>
      <c r="K39" s="87"/>
      <c r="L39" s="101"/>
      <c r="N39" s="17"/>
    </row>
    <row r="40" spans="1:18">
      <c r="A40" s="98">
        <v>10</v>
      </c>
      <c r="B40" s="8" t="str">
        <f t="shared" si="0"/>
        <v>1001</v>
      </c>
      <c r="C40" s="10">
        <v>64</v>
      </c>
      <c r="D40" s="9">
        <v>65</v>
      </c>
      <c r="E40" s="9">
        <v>66</v>
      </c>
      <c r="F40" s="9">
        <v>67</v>
      </c>
      <c r="G40" s="11">
        <v>80</v>
      </c>
      <c r="H40" s="10">
        <v>81</v>
      </c>
      <c r="I40" s="9">
        <v>82</v>
      </c>
      <c r="J40" s="9">
        <v>83</v>
      </c>
      <c r="K40" s="9">
        <v>84</v>
      </c>
      <c r="L40" s="101"/>
      <c r="M40" s="1"/>
      <c r="N40" s="6"/>
    </row>
    <row r="41" spans="1:18">
      <c r="A41" s="106"/>
      <c r="B41" s="8" t="str">
        <f t="shared" si="0"/>
        <v>1002</v>
      </c>
      <c r="C41" s="9">
        <v>68</v>
      </c>
      <c r="D41" s="9">
        <v>69</v>
      </c>
      <c r="E41" s="9">
        <v>70</v>
      </c>
      <c r="F41" s="9">
        <v>71</v>
      </c>
      <c r="G41" s="82"/>
      <c r="H41" s="83"/>
      <c r="I41" s="83"/>
      <c r="J41" s="83"/>
      <c r="K41" s="84"/>
      <c r="L41" s="101"/>
      <c r="M41" s="1"/>
      <c r="N41" s="6"/>
    </row>
    <row r="42" spans="1:18">
      <c r="A42" s="106"/>
      <c r="B42" s="8" t="str">
        <f t="shared" si="0"/>
        <v>1003</v>
      </c>
      <c r="C42" s="9">
        <v>72</v>
      </c>
      <c r="D42" s="9">
        <v>73</v>
      </c>
      <c r="E42" s="9">
        <v>74</v>
      </c>
      <c r="F42" s="9">
        <v>75</v>
      </c>
      <c r="G42" s="107"/>
      <c r="H42" s="108"/>
      <c r="I42" s="108"/>
      <c r="J42" s="108"/>
      <c r="K42" s="109"/>
      <c r="L42" s="101"/>
      <c r="M42" s="1"/>
      <c r="N42" s="6"/>
    </row>
    <row r="43" spans="1:18">
      <c r="A43" s="99"/>
      <c r="B43" s="8" t="str">
        <f t="shared" si="0"/>
        <v>1004</v>
      </c>
      <c r="C43" s="10">
        <v>76</v>
      </c>
      <c r="D43" s="10">
        <v>77</v>
      </c>
      <c r="E43" s="10">
        <v>78</v>
      </c>
      <c r="F43" s="9">
        <v>79</v>
      </c>
      <c r="G43" s="85"/>
      <c r="H43" s="86"/>
      <c r="I43" s="86"/>
      <c r="J43" s="86"/>
      <c r="K43" s="87"/>
      <c r="L43" s="101"/>
      <c r="M43" s="1"/>
      <c r="N43" s="6"/>
      <c r="R43" s="1"/>
    </row>
    <row r="44" spans="1:18">
      <c r="A44" s="98">
        <v>11</v>
      </c>
      <c r="B44" s="8" t="str">
        <f t="shared" si="0"/>
        <v>1101</v>
      </c>
      <c r="C44" s="9">
        <v>85</v>
      </c>
      <c r="D44" s="9">
        <v>86</v>
      </c>
      <c r="E44" s="9">
        <v>87</v>
      </c>
      <c r="F44" s="9">
        <v>88</v>
      </c>
      <c r="G44" s="9">
        <v>101</v>
      </c>
      <c r="H44" s="9">
        <v>102</v>
      </c>
      <c r="I44" s="9">
        <v>103</v>
      </c>
      <c r="J44" s="9">
        <v>104</v>
      </c>
      <c r="K44" s="9">
        <v>105</v>
      </c>
      <c r="L44" s="101"/>
      <c r="M44" s="1"/>
      <c r="N44" s="6"/>
      <c r="R44" s="1"/>
    </row>
    <row r="45" spans="1:18">
      <c r="A45" s="106"/>
      <c r="B45" s="8" t="str">
        <f t="shared" si="0"/>
        <v>1102</v>
      </c>
      <c r="C45" s="9">
        <v>89</v>
      </c>
      <c r="D45" s="9">
        <v>90</v>
      </c>
      <c r="E45" s="9">
        <v>91</v>
      </c>
      <c r="F45" s="9">
        <v>92</v>
      </c>
      <c r="G45" s="82"/>
      <c r="H45" s="83"/>
      <c r="I45" s="83"/>
      <c r="J45" s="83"/>
      <c r="K45" s="84"/>
      <c r="L45" s="101"/>
      <c r="M45" s="1"/>
      <c r="N45" s="6"/>
      <c r="R45" s="1"/>
    </row>
    <row r="46" spans="1:18">
      <c r="A46" s="106"/>
      <c r="B46" s="8" t="str">
        <f t="shared" si="0"/>
        <v>1103</v>
      </c>
      <c r="C46" s="9">
        <v>93</v>
      </c>
      <c r="D46" s="9">
        <v>94</v>
      </c>
      <c r="E46" s="9">
        <v>95</v>
      </c>
      <c r="F46" s="9">
        <v>96</v>
      </c>
      <c r="G46" s="107"/>
      <c r="H46" s="108"/>
      <c r="I46" s="108"/>
      <c r="J46" s="108"/>
      <c r="K46" s="109"/>
      <c r="L46" s="101"/>
      <c r="M46" s="1"/>
      <c r="N46" s="6"/>
      <c r="R46" s="1"/>
    </row>
    <row r="47" spans="1:18">
      <c r="A47" s="99"/>
      <c r="B47" s="8" t="str">
        <f t="shared" si="0"/>
        <v>1104</v>
      </c>
      <c r="C47" s="9">
        <v>97</v>
      </c>
      <c r="D47" s="9">
        <v>98</v>
      </c>
      <c r="E47" s="9">
        <v>99</v>
      </c>
      <c r="F47" s="9">
        <v>100</v>
      </c>
      <c r="G47" s="85"/>
      <c r="H47" s="86"/>
      <c r="I47" s="86"/>
      <c r="J47" s="86"/>
      <c r="K47" s="87"/>
      <c r="L47" s="101"/>
      <c r="M47" s="1"/>
      <c r="N47" s="6"/>
      <c r="R47" s="1"/>
    </row>
    <row r="48" spans="1:18">
      <c r="A48" s="80">
        <v>12</v>
      </c>
      <c r="B48" s="8" t="str">
        <f t="shared" si="0"/>
        <v>1201</v>
      </c>
      <c r="C48" s="10">
        <v>106</v>
      </c>
      <c r="D48" s="10">
        <v>107</v>
      </c>
      <c r="E48" s="10">
        <v>108</v>
      </c>
      <c r="F48" s="10">
        <v>109</v>
      </c>
      <c r="G48" s="10">
        <v>122</v>
      </c>
      <c r="H48" s="10">
        <v>123</v>
      </c>
      <c r="I48" s="10">
        <v>124</v>
      </c>
      <c r="J48" s="10">
        <v>125</v>
      </c>
      <c r="K48" s="9">
        <v>126</v>
      </c>
      <c r="L48" s="101"/>
      <c r="M48" s="1"/>
      <c r="N48" s="6"/>
      <c r="O48" s="6"/>
      <c r="R48" s="1"/>
    </row>
    <row r="49" spans="1:18">
      <c r="A49" s="80"/>
      <c r="B49" s="8" t="str">
        <f t="shared" si="0"/>
        <v>1202</v>
      </c>
      <c r="C49" s="10">
        <v>110</v>
      </c>
      <c r="D49" s="10">
        <v>111</v>
      </c>
      <c r="E49" s="10">
        <v>112</v>
      </c>
      <c r="F49" s="10">
        <v>113</v>
      </c>
      <c r="G49" s="82"/>
      <c r="H49" s="83"/>
      <c r="I49" s="83"/>
      <c r="J49" s="83"/>
      <c r="K49" s="84"/>
      <c r="L49" s="101"/>
      <c r="M49" s="1"/>
      <c r="N49" s="6"/>
      <c r="O49" s="6"/>
      <c r="R49" s="1"/>
    </row>
    <row r="50" spans="1:18">
      <c r="A50" s="80"/>
      <c r="B50" s="8" t="str">
        <f t="shared" si="0"/>
        <v>1203</v>
      </c>
      <c r="C50" s="10">
        <v>114</v>
      </c>
      <c r="D50" s="10">
        <v>115</v>
      </c>
      <c r="E50" s="10">
        <v>116</v>
      </c>
      <c r="F50" s="10">
        <v>117</v>
      </c>
      <c r="G50" s="107"/>
      <c r="H50" s="108"/>
      <c r="I50" s="108"/>
      <c r="J50" s="108"/>
      <c r="K50" s="109"/>
      <c r="L50" s="101"/>
      <c r="O50" s="6"/>
    </row>
    <row r="51" spans="1:18">
      <c r="A51" s="80"/>
      <c r="B51" s="8" t="str">
        <f t="shared" si="0"/>
        <v>1204</v>
      </c>
      <c r="C51" s="10">
        <v>118</v>
      </c>
      <c r="D51" s="10">
        <v>119</v>
      </c>
      <c r="E51" s="10">
        <v>120</v>
      </c>
      <c r="F51" s="10">
        <v>121</v>
      </c>
      <c r="G51" s="85"/>
      <c r="H51" s="86"/>
      <c r="I51" s="86"/>
      <c r="J51" s="86"/>
      <c r="K51" s="87"/>
      <c r="L51" s="102"/>
      <c r="O51" s="6"/>
    </row>
    <row r="52" spans="1:18">
      <c r="A52" s="98">
        <v>13</v>
      </c>
      <c r="B52" s="8" t="str">
        <f t="shared" si="0"/>
        <v>1301</v>
      </c>
      <c r="C52" s="9">
        <v>1</v>
      </c>
      <c r="D52" s="9">
        <v>2</v>
      </c>
      <c r="E52" s="9">
        <v>3</v>
      </c>
      <c r="F52" s="9">
        <v>4</v>
      </c>
      <c r="G52" s="9">
        <v>17</v>
      </c>
      <c r="H52" s="9">
        <v>18</v>
      </c>
      <c r="I52" s="9">
        <v>19</v>
      </c>
      <c r="J52" s="9">
        <v>20</v>
      </c>
      <c r="K52" s="9">
        <v>21</v>
      </c>
      <c r="L52" s="100" t="s">
        <v>15</v>
      </c>
      <c r="O52" s="6"/>
    </row>
    <row r="53" spans="1:18">
      <c r="A53" s="106"/>
      <c r="B53" s="8" t="str">
        <f t="shared" si="0"/>
        <v>1302</v>
      </c>
      <c r="C53" s="9">
        <v>5</v>
      </c>
      <c r="D53" s="9">
        <v>6</v>
      </c>
      <c r="E53" s="9">
        <v>7</v>
      </c>
      <c r="F53" s="9">
        <v>8</v>
      </c>
      <c r="G53" s="82"/>
      <c r="H53" s="83"/>
      <c r="I53" s="83"/>
      <c r="J53" s="83"/>
      <c r="K53" s="84"/>
      <c r="L53" s="101"/>
      <c r="O53" s="6"/>
    </row>
    <row r="54" spans="1:18">
      <c r="A54" s="106"/>
      <c r="B54" s="8" t="str">
        <f t="shared" si="0"/>
        <v>1303</v>
      </c>
      <c r="C54" s="9">
        <v>9</v>
      </c>
      <c r="D54" s="9">
        <v>10</v>
      </c>
      <c r="E54" s="9">
        <v>11</v>
      </c>
      <c r="F54" s="9">
        <v>12</v>
      </c>
      <c r="G54" s="107"/>
      <c r="H54" s="108"/>
      <c r="I54" s="108"/>
      <c r="J54" s="108"/>
      <c r="K54" s="109"/>
      <c r="L54" s="101"/>
      <c r="O54" s="6"/>
    </row>
    <row r="55" spans="1:18">
      <c r="A55" s="99"/>
      <c r="B55" s="8" t="str">
        <f t="shared" si="0"/>
        <v>1304</v>
      </c>
      <c r="C55" s="9">
        <v>13</v>
      </c>
      <c r="D55" s="9">
        <v>14</v>
      </c>
      <c r="E55" s="9">
        <v>15</v>
      </c>
      <c r="F55" s="9">
        <v>16</v>
      </c>
      <c r="G55" s="85"/>
      <c r="H55" s="86"/>
      <c r="I55" s="86"/>
      <c r="J55" s="86"/>
      <c r="K55" s="87"/>
      <c r="L55" s="101"/>
      <c r="O55" s="6"/>
    </row>
    <row r="56" spans="1:18">
      <c r="A56" s="98">
        <v>14</v>
      </c>
      <c r="B56" s="8" t="str">
        <f t="shared" si="0"/>
        <v>1401</v>
      </c>
      <c r="C56" s="9">
        <v>22</v>
      </c>
      <c r="D56" s="9">
        <v>23</v>
      </c>
      <c r="E56" s="9">
        <v>24</v>
      </c>
      <c r="F56" s="9">
        <v>25</v>
      </c>
      <c r="G56" s="9">
        <v>38</v>
      </c>
      <c r="H56" s="9">
        <v>39</v>
      </c>
      <c r="I56" s="9">
        <v>40</v>
      </c>
      <c r="J56" s="9">
        <v>41</v>
      </c>
      <c r="K56" s="9">
        <v>42</v>
      </c>
      <c r="L56" s="101"/>
      <c r="O56" s="6"/>
    </row>
    <row r="57" spans="1:18">
      <c r="A57" s="106"/>
      <c r="B57" s="8" t="str">
        <f t="shared" si="0"/>
        <v>1402</v>
      </c>
      <c r="C57" s="9">
        <v>26</v>
      </c>
      <c r="D57" s="9">
        <v>27</v>
      </c>
      <c r="E57" s="9">
        <v>28</v>
      </c>
      <c r="F57" s="9">
        <v>29</v>
      </c>
      <c r="G57" s="82"/>
      <c r="H57" s="83"/>
      <c r="I57" s="83"/>
      <c r="J57" s="83"/>
      <c r="K57" s="84"/>
      <c r="L57" s="101"/>
      <c r="O57" s="6"/>
    </row>
    <row r="58" spans="1:18">
      <c r="A58" s="106"/>
      <c r="B58" s="8" t="str">
        <f t="shared" si="0"/>
        <v>1403</v>
      </c>
      <c r="C58" s="9">
        <v>30</v>
      </c>
      <c r="D58" s="9">
        <v>31</v>
      </c>
      <c r="E58" s="9">
        <v>32</v>
      </c>
      <c r="F58" s="9">
        <v>33</v>
      </c>
      <c r="G58" s="107"/>
      <c r="H58" s="108"/>
      <c r="I58" s="108"/>
      <c r="J58" s="108"/>
      <c r="K58" s="109"/>
      <c r="L58" s="101"/>
      <c r="O58" s="6"/>
    </row>
    <row r="59" spans="1:18">
      <c r="A59" s="99"/>
      <c r="B59" s="8" t="str">
        <f t="shared" si="0"/>
        <v>1404</v>
      </c>
      <c r="C59" s="11">
        <v>34</v>
      </c>
      <c r="D59" s="9">
        <v>35</v>
      </c>
      <c r="E59" s="9">
        <v>36</v>
      </c>
      <c r="F59" s="9">
        <v>37</v>
      </c>
      <c r="G59" s="85"/>
      <c r="H59" s="86"/>
      <c r="I59" s="86"/>
      <c r="J59" s="86"/>
      <c r="K59" s="87"/>
      <c r="L59" s="101"/>
      <c r="O59" s="6"/>
    </row>
    <row r="60" spans="1:18">
      <c r="A60" s="98">
        <v>15</v>
      </c>
      <c r="B60" s="8" t="str">
        <f t="shared" si="0"/>
        <v>1501</v>
      </c>
      <c r="C60" s="9">
        <v>43</v>
      </c>
      <c r="D60" s="9">
        <v>44</v>
      </c>
      <c r="E60" s="9">
        <v>45</v>
      </c>
      <c r="F60" s="9">
        <v>46</v>
      </c>
      <c r="G60" s="9">
        <v>59</v>
      </c>
      <c r="H60" s="9">
        <v>60</v>
      </c>
      <c r="I60" s="9">
        <v>61</v>
      </c>
      <c r="J60" s="9">
        <v>62</v>
      </c>
      <c r="K60" s="9">
        <v>63</v>
      </c>
      <c r="L60" s="101"/>
      <c r="O60" s="6"/>
    </row>
    <row r="61" spans="1:18">
      <c r="A61" s="106"/>
      <c r="B61" s="8" t="str">
        <f t="shared" si="0"/>
        <v>1502</v>
      </c>
      <c r="C61" s="9">
        <v>47</v>
      </c>
      <c r="D61" s="9">
        <v>48</v>
      </c>
      <c r="E61" s="9">
        <v>49</v>
      </c>
      <c r="F61" s="9">
        <v>50</v>
      </c>
      <c r="G61" s="82"/>
      <c r="H61" s="83"/>
      <c r="I61" s="83"/>
      <c r="J61" s="83"/>
      <c r="K61" s="84"/>
      <c r="L61" s="101"/>
      <c r="O61" s="6"/>
    </row>
    <row r="62" spans="1:18">
      <c r="A62" s="106"/>
      <c r="B62" s="8" t="str">
        <f t="shared" si="0"/>
        <v>1503</v>
      </c>
      <c r="C62" s="10">
        <v>51</v>
      </c>
      <c r="D62" s="11">
        <v>52</v>
      </c>
      <c r="E62" s="9">
        <v>53</v>
      </c>
      <c r="F62" s="9">
        <v>54</v>
      </c>
      <c r="G62" s="107"/>
      <c r="H62" s="108"/>
      <c r="I62" s="108"/>
      <c r="J62" s="108"/>
      <c r="K62" s="109"/>
      <c r="L62" s="101"/>
      <c r="O62" s="6"/>
    </row>
    <row r="63" spans="1:18">
      <c r="A63" s="99"/>
      <c r="B63" s="8" t="str">
        <f t="shared" si="0"/>
        <v>1504</v>
      </c>
      <c r="C63" s="11">
        <v>55</v>
      </c>
      <c r="D63" s="9">
        <v>56</v>
      </c>
      <c r="E63" s="11">
        <v>57</v>
      </c>
      <c r="F63" s="9">
        <v>58</v>
      </c>
      <c r="G63" s="85"/>
      <c r="H63" s="86"/>
      <c r="I63" s="86"/>
      <c r="J63" s="86"/>
      <c r="K63" s="87"/>
      <c r="L63" s="101"/>
      <c r="O63" s="6"/>
    </row>
    <row r="64" spans="1:18">
      <c r="A64" s="98">
        <v>16</v>
      </c>
      <c r="B64" s="8" t="str">
        <f t="shared" si="0"/>
        <v>1601</v>
      </c>
      <c r="C64" s="9">
        <v>64</v>
      </c>
      <c r="D64" s="9">
        <v>65</v>
      </c>
      <c r="E64" s="9">
        <v>66</v>
      </c>
      <c r="F64" s="9">
        <v>67</v>
      </c>
      <c r="G64" s="9">
        <v>80</v>
      </c>
      <c r="H64" s="9">
        <v>81</v>
      </c>
      <c r="I64" s="9">
        <v>82</v>
      </c>
      <c r="J64" s="9">
        <v>83</v>
      </c>
      <c r="K64" s="9">
        <v>84</v>
      </c>
      <c r="L64" s="101"/>
      <c r="O64" s="6"/>
    </row>
    <row r="65" spans="1:15">
      <c r="A65" s="106"/>
      <c r="B65" s="8" t="str">
        <f t="shared" si="0"/>
        <v>1602</v>
      </c>
      <c r="C65" s="9">
        <v>68</v>
      </c>
      <c r="D65" s="9">
        <v>69</v>
      </c>
      <c r="E65" s="9">
        <v>70</v>
      </c>
      <c r="F65" s="9">
        <v>71</v>
      </c>
      <c r="G65" s="82"/>
      <c r="H65" s="83"/>
      <c r="I65" s="83"/>
      <c r="J65" s="83"/>
      <c r="K65" s="84"/>
      <c r="L65" s="101"/>
      <c r="O65" s="6"/>
    </row>
    <row r="66" spans="1:15">
      <c r="A66" s="106"/>
      <c r="B66" s="8" t="str">
        <f t="shared" si="0"/>
        <v>1603</v>
      </c>
      <c r="C66" s="10">
        <v>72</v>
      </c>
      <c r="D66" s="10">
        <v>73</v>
      </c>
      <c r="E66" s="10">
        <v>74</v>
      </c>
      <c r="F66" s="9">
        <v>75</v>
      </c>
      <c r="G66" s="107"/>
      <c r="H66" s="108"/>
      <c r="I66" s="108"/>
      <c r="J66" s="108"/>
      <c r="K66" s="109"/>
      <c r="L66" s="101"/>
      <c r="O66" s="6"/>
    </row>
    <row r="67" spans="1:15">
      <c r="A67" s="99"/>
      <c r="B67" s="8" t="str">
        <f t="shared" si="0"/>
        <v>1604</v>
      </c>
      <c r="C67" s="9">
        <v>76</v>
      </c>
      <c r="D67" s="9">
        <v>77</v>
      </c>
      <c r="E67" s="9">
        <v>78</v>
      </c>
      <c r="F67" s="9">
        <v>79</v>
      </c>
      <c r="G67" s="85"/>
      <c r="H67" s="86"/>
      <c r="I67" s="86"/>
      <c r="J67" s="86"/>
      <c r="K67" s="87"/>
      <c r="L67" s="101"/>
      <c r="O67" s="6"/>
    </row>
    <row r="68" spans="1:15">
      <c r="A68" s="98">
        <v>17</v>
      </c>
      <c r="B68" s="8" t="str">
        <f t="shared" si="0"/>
        <v>1701</v>
      </c>
      <c r="C68" s="9">
        <v>85</v>
      </c>
      <c r="D68" s="9">
        <v>86</v>
      </c>
      <c r="E68" s="9">
        <v>87</v>
      </c>
      <c r="F68" s="9">
        <v>88</v>
      </c>
      <c r="G68" s="10">
        <v>101</v>
      </c>
      <c r="H68" s="9">
        <v>102</v>
      </c>
      <c r="I68" s="9">
        <v>103</v>
      </c>
      <c r="J68" s="9">
        <v>104</v>
      </c>
      <c r="K68" s="9">
        <v>105</v>
      </c>
      <c r="L68" s="101"/>
      <c r="O68" s="6"/>
    </row>
    <row r="69" spans="1:15">
      <c r="A69" s="106"/>
      <c r="B69" s="8" t="str">
        <f t="shared" ref="B69:B103" si="1">INT((ROW()-4)/4)+1 &amp; TEXT(MOD(ROW()-4,4)+1,"00")</f>
        <v>1702</v>
      </c>
      <c r="C69" s="10">
        <v>89</v>
      </c>
      <c r="D69" s="9">
        <v>90</v>
      </c>
      <c r="E69" s="11">
        <v>91</v>
      </c>
      <c r="F69" s="10">
        <v>92</v>
      </c>
      <c r="G69" s="82"/>
      <c r="H69" s="83"/>
      <c r="I69" s="83"/>
      <c r="J69" s="83"/>
      <c r="K69" s="84"/>
      <c r="L69" s="101"/>
      <c r="O69" s="6"/>
    </row>
    <row r="70" spans="1:15">
      <c r="A70" s="106"/>
      <c r="B70" s="8" t="str">
        <f t="shared" si="1"/>
        <v>1703</v>
      </c>
      <c r="C70" s="9">
        <v>93</v>
      </c>
      <c r="D70" s="9">
        <v>94</v>
      </c>
      <c r="E70" s="9">
        <v>95</v>
      </c>
      <c r="F70" s="9">
        <v>96</v>
      </c>
      <c r="G70" s="107"/>
      <c r="H70" s="108"/>
      <c r="I70" s="108"/>
      <c r="J70" s="108"/>
      <c r="K70" s="109"/>
      <c r="L70" s="101"/>
      <c r="O70" s="6"/>
    </row>
    <row r="71" spans="1:15">
      <c r="A71" s="99"/>
      <c r="B71" s="8" t="str">
        <f t="shared" si="1"/>
        <v>1704</v>
      </c>
      <c r="C71" s="9">
        <v>97</v>
      </c>
      <c r="D71" s="9">
        <v>98</v>
      </c>
      <c r="E71" s="9">
        <v>99</v>
      </c>
      <c r="F71" s="9">
        <v>100</v>
      </c>
      <c r="G71" s="85"/>
      <c r="H71" s="86"/>
      <c r="I71" s="86"/>
      <c r="J71" s="86"/>
      <c r="K71" s="87"/>
      <c r="L71" s="101"/>
      <c r="O71" s="6"/>
    </row>
    <row r="72" spans="1:15">
      <c r="A72" s="98">
        <v>18</v>
      </c>
      <c r="B72" s="8" t="str">
        <f t="shared" si="1"/>
        <v>1801</v>
      </c>
      <c r="C72" s="9">
        <v>106</v>
      </c>
      <c r="D72" s="9">
        <v>107</v>
      </c>
      <c r="E72" s="9">
        <v>108</v>
      </c>
      <c r="F72" s="10">
        <v>109</v>
      </c>
      <c r="G72" s="9">
        <v>122</v>
      </c>
      <c r="H72" s="9">
        <v>123</v>
      </c>
      <c r="I72" s="9">
        <v>124</v>
      </c>
      <c r="J72" s="9">
        <v>125</v>
      </c>
      <c r="K72" s="9">
        <v>126</v>
      </c>
      <c r="L72" s="101"/>
      <c r="O72" s="6"/>
    </row>
    <row r="73" spans="1:15">
      <c r="A73" s="106"/>
      <c r="B73" s="8" t="str">
        <f t="shared" si="1"/>
        <v>1802</v>
      </c>
      <c r="C73" s="9">
        <v>110</v>
      </c>
      <c r="D73" s="11">
        <v>111</v>
      </c>
      <c r="E73" s="10">
        <v>112</v>
      </c>
      <c r="F73" s="9">
        <v>113</v>
      </c>
      <c r="G73" s="82"/>
      <c r="H73" s="83"/>
      <c r="I73" s="83"/>
      <c r="J73" s="83"/>
      <c r="K73" s="84"/>
      <c r="L73" s="101"/>
      <c r="O73" s="6"/>
    </row>
    <row r="74" spans="1:15">
      <c r="A74" s="106"/>
      <c r="B74" s="8" t="str">
        <f t="shared" si="1"/>
        <v>1803</v>
      </c>
      <c r="C74" s="9">
        <v>114</v>
      </c>
      <c r="D74" s="9">
        <v>115</v>
      </c>
      <c r="E74" s="9">
        <v>116</v>
      </c>
      <c r="F74" s="9">
        <v>117</v>
      </c>
      <c r="G74" s="107"/>
      <c r="H74" s="108"/>
      <c r="I74" s="108"/>
      <c r="J74" s="108"/>
      <c r="K74" s="109"/>
      <c r="L74" s="101"/>
      <c r="O74" s="6"/>
    </row>
    <row r="75" spans="1:15">
      <c r="A75" s="99"/>
      <c r="B75" s="8" t="str">
        <f t="shared" si="1"/>
        <v>1804</v>
      </c>
      <c r="C75" s="9">
        <v>118</v>
      </c>
      <c r="D75" s="9">
        <v>119</v>
      </c>
      <c r="E75" s="9">
        <v>120</v>
      </c>
      <c r="F75" s="9">
        <v>121</v>
      </c>
      <c r="G75" s="85"/>
      <c r="H75" s="86"/>
      <c r="I75" s="86"/>
      <c r="J75" s="86"/>
      <c r="K75" s="87"/>
      <c r="L75" s="102"/>
      <c r="O75" s="6"/>
    </row>
    <row r="76" spans="1:15">
      <c r="A76" s="98">
        <v>19</v>
      </c>
      <c r="B76" s="8" t="str">
        <f t="shared" si="1"/>
        <v>1901</v>
      </c>
      <c r="C76" s="10">
        <v>1</v>
      </c>
      <c r="D76" s="10">
        <v>2</v>
      </c>
      <c r="E76" s="10">
        <v>3</v>
      </c>
      <c r="F76" s="11">
        <v>4</v>
      </c>
      <c r="G76" s="9">
        <v>17</v>
      </c>
      <c r="H76" s="9">
        <v>18</v>
      </c>
      <c r="I76" s="9">
        <v>19</v>
      </c>
      <c r="J76" s="9">
        <v>20</v>
      </c>
      <c r="K76" s="9">
        <v>21</v>
      </c>
      <c r="L76" s="100" t="s">
        <v>16</v>
      </c>
      <c r="O76" s="6"/>
    </row>
    <row r="77" spans="1:15">
      <c r="A77" s="106"/>
      <c r="B77" s="8" t="str">
        <f t="shared" si="1"/>
        <v>1902</v>
      </c>
      <c r="C77" s="9">
        <v>5</v>
      </c>
      <c r="D77" s="9">
        <v>6</v>
      </c>
      <c r="E77" s="9">
        <v>7</v>
      </c>
      <c r="F77" s="9">
        <v>8</v>
      </c>
      <c r="G77" s="82"/>
      <c r="H77" s="83"/>
      <c r="I77" s="83"/>
      <c r="J77" s="83"/>
      <c r="K77" s="84"/>
      <c r="L77" s="101"/>
      <c r="O77" s="6"/>
    </row>
    <row r="78" spans="1:15">
      <c r="A78" s="106"/>
      <c r="B78" s="8" t="str">
        <f t="shared" si="1"/>
        <v>1903</v>
      </c>
      <c r="C78" s="9">
        <v>9</v>
      </c>
      <c r="D78" s="11">
        <v>10</v>
      </c>
      <c r="E78" s="10">
        <v>11</v>
      </c>
      <c r="F78" s="9">
        <v>12</v>
      </c>
      <c r="G78" s="107"/>
      <c r="H78" s="108"/>
      <c r="I78" s="108"/>
      <c r="J78" s="108"/>
      <c r="K78" s="109"/>
      <c r="L78" s="101"/>
      <c r="O78" s="6"/>
    </row>
    <row r="79" spans="1:15">
      <c r="A79" s="99"/>
      <c r="B79" s="8" t="str">
        <f t="shared" si="1"/>
        <v>1904</v>
      </c>
      <c r="C79" s="9">
        <v>13</v>
      </c>
      <c r="D79" s="9">
        <v>14</v>
      </c>
      <c r="E79" s="9">
        <v>15</v>
      </c>
      <c r="F79" s="9">
        <v>16</v>
      </c>
      <c r="G79" s="85"/>
      <c r="H79" s="86"/>
      <c r="I79" s="86"/>
      <c r="J79" s="86"/>
      <c r="K79" s="87"/>
      <c r="L79" s="101"/>
      <c r="O79" s="6"/>
    </row>
    <row r="80" spans="1:15">
      <c r="A80" s="98">
        <v>20</v>
      </c>
      <c r="B80" s="8" t="str">
        <f t="shared" si="1"/>
        <v>2001</v>
      </c>
      <c r="C80" s="11">
        <v>22</v>
      </c>
      <c r="D80" s="10">
        <v>23</v>
      </c>
      <c r="E80" s="10">
        <v>24</v>
      </c>
      <c r="F80" s="10">
        <v>25</v>
      </c>
      <c r="G80" s="9">
        <v>38</v>
      </c>
      <c r="H80" s="9">
        <v>39</v>
      </c>
      <c r="I80" s="9">
        <v>40</v>
      </c>
      <c r="J80" s="9">
        <v>41</v>
      </c>
      <c r="K80" s="9">
        <v>42</v>
      </c>
      <c r="L80" s="101"/>
      <c r="O80" s="6"/>
    </row>
    <row r="81" spans="1:19">
      <c r="A81" s="106"/>
      <c r="B81" s="8" t="str">
        <f t="shared" si="1"/>
        <v>2002</v>
      </c>
      <c r="C81" s="9">
        <v>26</v>
      </c>
      <c r="D81" s="9">
        <v>27</v>
      </c>
      <c r="E81" s="9">
        <v>28</v>
      </c>
      <c r="F81" s="9">
        <v>29</v>
      </c>
      <c r="G81" s="82"/>
      <c r="H81" s="83"/>
      <c r="I81" s="83"/>
      <c r="J81" s="83"/>
      <c r="K81" s="84"/>
      <c r="L81" s="101"/>
      <c r="O81" s="6"/>
    </row>
    <row r="82" spans="1:19">
      <c r="A82" s="106"/>
      <c r="B82" s="8" t="str">
        <f t="shared" si="1"/>
        <v>2003</v>
      </c>
      <c r="C82" s="9">
        <v>30</v>
      </c>
      <c r="D82" s="9">
        <v>31</v>
      </c>
      <c r="E82" s="9">
        <v>32</v>
      </c>
      <c r="F82" s="9">
        <v>33</v>
      </c>
      <c r="G82" s="107"/>
      <c r="H82" s="108"/>
      <c r="I82" s="108"/>
      <c r="J82" s="108"/>
      <c r="K82" s="109"/>
      <c r="L82" s="101"/>
      <c r="O82" s="6"/>
    </row>
    <row r="83" spans="1:19">
      <c r="A83" s="99"/>
      <c r="B83" s="8" t="str">
        <f t="shared" si="1"/>
        <v>2004</v>
      </c>
      <c r="C83" s="9">
        <v>34</v>
      </c>
      <c r="D83" s="11">
        <v>35</v>
      </c>
      <c r="E83" s="9">
        <v>36</v>
      </c>
      <c r="F83" s="9">
        <v>37</v>
      </c>
      <c r="G83" s="85"/>
      <c r="H83" s="86"/>
      <c r="I83" s="86"/>
      <c r="J83" s="86"/>
      <c r="K83" s="87"/>
      <c r="L83" s="101"/>
      <c r="O83" s="6"/>
    </row>
    <row r="84" spans="1:19">
      <c r="A84" s="98">
        <v>21</v>
      </c>
      <c r="B84" s="8" t="str">
        <f t="shared" si="1"/>
        <v>2101</v>
      </c>
      <c r="C84" s="9">
        <v>43</v>
      </c>
      <c r="D84" s="9">
        <v>44</v>
      </c>
      <c r="E84" s="9">
        <v>45</v>
      </c>
      <c r="F84" s="9">
        <v>46</v>
      </c>
      <c r="G84" s="9">
        <v>59</v>
      </c>
      <c r="H84" s="9">
        <v>60</v>
      </c>
      <c r="I84" s="9">
        <v>61</v>
      </c>
      <c r="J84" s="9">
        <v>62</v>
      </c>
      <c r="K84" s="9">
        <v>63</v>
      </c>
      <c r="L84" s="101"/>
      <c r="O84" s="6"/>
    </row>
    <row r="85" spans="1:19">
      <c r="A85" s="106"/>
      <c r="B85" s="8" t="str">
        <f t="shared" si="1"/>
        <v>2102</v>
      </c>
      <c r="C85" s="9">
        <v>47</v>
      </c>
      <c r="D85" s="10">
        <v>48</v>
      </c>
      <c r="E85" s="10">
        <v>49</v>
      </c>
      <c r="F85" s="9">
        <v>50</v>
      </c>
      <c r="G85" s="82"/>
      <c r="H85" s="83"/>
      <c r="I85" s="83"/>
      <c r="J85" s="83"/>
      <c r="K85" s="84"/>
      <c r="L85" s="101"/>
      <c r="O85" s="6"/>
    </row>
    <row r="86" spans="1:19">
      <c r="A86" s="106"/>
      <c r="B86" s="8" t="str">
        <f t="shared" si="1"/>
        <v>2103</v>
      </c>
      <c r="C86" s="9">
        <v>51</v>
      </c>
      <c r="D86" s="9">
        <v>52</v>
      </c>
      <c r="E86" s="9">
        <v>53</v>
      </c>
      <c r="F86" s="9">
        <v>54</v>
      </c>
      <c r="G86" s="107"/>
      <c r="H86" s="108"/>
      <c r="I86" s="108"/>
      <c r="J86" s="108"/>
      <c r="K86" s="109"/>
      <c r="L86" s="101"/>
    </row>
    <row r="87" spans="1:19">
      <c r="A87" s="99"/>
      <c r="B87" s="8" t="str">
        <f t="shared" si="1"/>
        <v>2104</v>
      </c>
      <c r="C87" s="9">
        <v>55</v>
      </c>
      <c r="D87" s="9">
        <v>56</v>
      </c>
      <c r="E87" s="9">
        <v>57</v>
      </c>
      <c r="F87" s="9">
        <v>58</v>
      </c>
      <c r="G87" s="85"/>
      <c r="H87" s="86"/>
      <c r="I87" s="86"/>
      <c r="J87" s="86"/>
      <c r="K87" s="87"/>
      <c r="L87" s="101"/>
    </row>
    <row r="88" spans="1:19">
      <c r="A88" s="98">
        <v>22</v>
      </c>
      <c r="B88" s="8" t="str">
        <f t="shared" si="1"/>
        <v>2201</v>
      </c>
      <c r="C88" s="9">
        <v>64</v>
      </c>
      <c r="D88" s="9">
        <v>65</v>
      </c>
      <c r="E88" s="9">
        <v>66</v>
      </c>
      <c r="F88" s="9">
        <v>67</v>
      </c>
      <c r="G88" s="9">
        <v>80</v>
      </c>
      <c r="H88" s="9">
        <v>81</v>
      </c>
      <c r="I88" s="9">
        <v>82</v>
      </c>
      <c r="J88" s="9">
        <v>83</v>
      </c>
      <c r="K88" s="9">
        <v>84</v>
      </c>
      <c r="L88" s="101"/>
      <c r="N88" s="6"/>
    </row>
    <row r="89" spans="1:19">
      <c r="A89" s="106"/>
      <c r="B89" s="8" t="str">
        <f t="shared" si="1"/>
        <v>2202</v>
      </c>
      <c r="C89" s="9">
        <v>68</v>
      </c>
      <c r="D89" s="9">
        <v>69</v>
      </c>
      <c r="E89" s="9">
        <v>70</v>
      </c>
      <c r="F89" s="10">
        <v>71</v>
      </c>
      <c r="G89" s="82"/>
      <c r="H89" s="83"/>
      <c r="I89" s="83"/>
      <c r="J89" s="83"/>
      <c r="K89" s="84"/>
      <c r="L89" s="101"/>
      <c r="N89" s="6"/>
    </row>
    <row r="90" spans="1:19">
      <c r="A90" s="106"/>
      <c r="B90" s="8" t="str">
        <f t="shared" si="1"/>
        <v>2203</v>
      </c>
      <c r="C90" s="9">
        <v>72</v>
      </c>
      <c r="D90" s="9">
        <v>73</v>
      </c>
      <c r="E90" s="9">
        <v>74</v>
      </c>
      <c r="F90" s="9">
        <v>75</v>
      </c>
      <c r="G90" s="107"/>
      <c r="H90" s="108"/>
      <c r="I90" s="108"/>
      <c r="J90" s="108"/>
      <c r="K90" s="109"/>
      <c r="L90" s="101"/>
      <c r="N90" s="6"/>
    </row>
    <row r="91" spans="1:19">
      <c r="A91" s="99"/>
      <c r="B91" s="8" t="str">
        <f t="shared" si="1"/>
        <v>2204</v>
      </c>
      <c r="C91" s="9">
        <v>76</v>
      </c>
      <c r="D91" s="9">
        <v>77</v>
      </c>
      <c r="E91" s="9">
        <v>78</v>
      </c>
      <c r="F91" s="9">
        <v>79</v>
      </c>
      <c r="G91" s="85"/>
      <c r="H91" s="86"/>
      <c r="I91" s="86"/>
      <c r="J91" s="86"/>
      <c r="K91" s="87"/>
      <c r="L91" s="101"/>
      <c r="N91" s="6"/>
    </row>
    <row r="92" spans="1:19">
      <c r="A92" s="98">
        <v>23</v>
      </c>
      <c r="B92" s="8" t="str">
        <f t="shared" si="1"/>
        <v>2301</v>
      </c>
      <c r="C92" s="9">
        <v>85</v>
      </c>
      <c r="D92" s="9">
        <v>86</v>
      </c>
      <c r="E92" s="9">
        <v>87</v>
      </c>
      <c r="F92" s="9">
        <v>88</v>
      </c>
      <c r="G92" s="9">
        <v>101</v>
      </c>
      <c r="H92" s="9">
        <v>102</v>
      </c>
      <c r="I92" s="9">
        <v>103</v>
      </c>
      <c r="J92" s="9">
        <v>104</v>
      </c>
      <c r="K92" s="9">
        <v>105</v>
      </c>
      <c r="L92" s="101"/>
      <c r="N92" s="6"/>
      <c r="S92" s="18"/>
    </row>
    <row r="93" spans="1:19">
      <c r="A93" s="106"/>
      <c r="B93" s="8" t="str">
        <f t="shared" si="1"/>
        <v>2302</v>
      </c>
      <c r="C93" s="9">
        <v>89</v>
      </c>
      <c r="D93" s="9">
        <v>90</v>
      </c>
      <c r="E93" s="9">
        <v>91</v>
      </c>
      <c r="F93" s="9">
        <v>92</v>
      </c>
      <c r="G93" s="82"/>
      <c r="H93" s="83"/>
      <c r="I93" s="83"/>
      <c r="J93" s="83"/>
      <c r="K93" s="84"/>
      <c r="L93" s="101"/>
      <c r="N93" s="6"/>
    </row>
    <row r="94" spans="1:19">
      <c r="A94" s="106"/>
      <c r="B94" s="8" t="str">
        <f t="shared" si="1"/>
        <v>2303</v>
      </c>
      <c r="C94" s="9">
        <v>93</v>
      </c>
      <c r="D94" s="11">
        <v>94</v>
      </c>
      <c r="E94" s="9">
        <v>95</v>
      </c>
      <c r="F94" s="9">
        <v>96</v>
      </c>
      <c r="G94" s="107"/>
      <c r="H94" s="108"/>
      <c r="I94" s="108"/>
      <c r="J94" s="108"/>
      <c r="K94" s="109"/>
      <c r="L94" s="101"/>
      <c r="N94" s="6"/>
    </row>
    <row r="95" spans="1:19">
      <c r="A95" s="99"/>
      <c r="B95" s="8" t="str">
        <f t="shared" si="1"/>
        <v>2304</v>
      </c>
      <c r="C95" s="11">
        <v>97</v>
      </c>
      <c r="D95" s="9">
        <v>98</v>
      </c>
      <c r="E95" s="9">
        <v>99</v>
      </c>
      <c r="F95" s="9">
        <v>100</v>
      </c>
      <c r="G95" s="85"/>
      <c r="H95" s="86"/>
      <c r="I95" s="86"/>
      <c r="J95" s="86"/>
      <c r="K95" s="87"/>
      <c r="L95" s="101"/>
      <c r="N95" s="6"/>
    </row>
    <row r="96" spans="1:19">
      <c r="A96" s="98">
        <v>24</v>
      </c>
      <c r="B96" s="8" t="str">
        <f t="shared" si="1"/>
        <v>2401</v>
      </c>
      <c r="C96" s="9">
        <v>106</v>
      </c>
      <c r="D96" s="10">
        <v>107</v>
      </c>
      <c r="E96" s="9">
        <v>108</v>
      </c>
      <c r="F96" s="10">
        <v>109</v>
      </c>
      <c r="G96" s="11">
        <v>122</v>
      </c>
      <c r="H96" s="9">
        <v>123</v>
      </c>
      <c r="I96" s="9">
        <v>124</v>
      </c>
      <c r="J96" s="9">
        <v>125</v>
      </c>
      <c r="K96" s="9">
        <v>126</v>
      </c>
      <c r="L96" s="101"/>
      <c r="N96" s="6"/>
    </row>
    <row r="97" spans="1:15">
      <c r="A97" s="106"/>
      <c r="B97" s="8" t="str">
        <f t="shared" si="1"/>
        <v>2402</v>
      </c>
      <c r="C97" s="9">
        <v>110</v>
      </c>
      <c r="D97" s="9">
        <v>111</v>
      </c>
      <c r="E97" s="10">
        <v>112</v>
      </c>
      <c r="F97" s="11">
        <v>113</v>
      </c>
      <c r="G97" s="82"/>
      <c r="H97" s="83"/>
      <c r="I97" s="83"/>
      <c r="J97" s="83"/>
      <c r="K97" s="84"/>
      <c r="L97" s="101"/>
      <c r="N97" s="6"/>
    </row>
    <row r="98" spans="1:15">
      <c r="A98" s="106"/>
      <c r="B98" s="8" t="str">
        <f t="shared" si="1"/>
        <v>2403</v>
      </c>
      <c r="C98" s="9">
        <v>114</v>
      </c>
      <c r="D98" s="10">
        <v>115</v>
      </c>
      <c r="E98" s="10">
        <v>116</v>
      </c>
      <c r="F98" s="9">
        <v>117</v>
      </c>
      <c r="G98" s="107"/>
      <c r="H98" s="108"/>
      <c r="I98" s="108"/>
      <c r="J98" s="108"/>
      <c r="K98" s="109"/>
      <c r="L98" s="101"/>
      <c r="N98" s="6"/>
      <c r="O98" s="6"/>
    </row>
    <row r="99" spans="1:15">
      <c r="A99" s="99"/>
      <c r="B99" s="8" t="str">
        <f t="shared" si="1"/>
        <v>2404</v>
      </c>
      <c r="C99" s="11">
        <v>118</v>
      </c>
      <c r="D99" s="9">
        <v>119</v>
      </c>
      <c r="E99" s="9">
        <v>120</v>
      </c>
      <c r="F99" s="9">
        <v>121</v>
      </c>
      <c r="G99" s="85"/>
      <c r="H99" s="86"/>
      <c r="I99" s="86"/>
      <c r="J99" s="86"/>
      <c r="K99" s="87"/>
      <c r="L99" s="101"/>
      <c r="N99" s="6"/>
      <c r="O99" s="6"/>
    </row>
    <row r="100" spans="1:15">
      <c r="A100" s="98">
        <v>25</v>
      </c>
      <c r="B100" s="8" t="str">
        <f t="shared" si="1"/>
        <v>2501</v>
      </c>
      <c r="C100" s="9">
        <v>127</v>
      </c>
      <c r="D100" s="9">
        <v>128</v>
      </c>
      <c r="E100" s="11">
        <v>129</v>
      </c>
      <c r="F100" s="9">
        <v>130</v>
      </c>
      <c r="G100" s="9">
        <v>143</v>
      </c>
      <c r="H100" s="9">
        <v>144</v>
      </c>
      <c r="I100" s="9">
        <v>145</v>
      </c>
      <c r="J100" s="9">
        <v>146</v>
      </c>
      <c r="K100" s="20">
        <v>147</v>
      </c>
      <c r="L100" s="101"/>
      <c r="O100" s="6"/>
    </row>
    <row r="101" spans="1:15">
      <c r="A101" s="106"/>
      <c r="B101" s="8" t="str">
        <f t="shared" si="1"/>
        <v>2502</v>
      </c>
      <c r="C101" s="9">
        <v>131</v>
      </c>
      <c r="D101" s="9">
        <v>132</v>
      </c>
      <c r="E101" s="9">
        <v>133</v>
      </c>
      <c r="F101" s="9">
        <v>134</v>
      </c>
      <c r="G101" s="82"/>
      <c r="H101" s="83"/>
      <c r="I101" s="83"/>
      <c r="J101" s="83"/>
      <c r="K101" s="83"/>
      <c r="L101" s="101"/>
      <c r="O101" s="6"/>
    </row>
    <row r="102" spans="1:15">
      <c r="A102" s="106"/>
      <c r="B102" s="8" t="str">
        <f t="shared" si="1"/>
        <v>2503</v>
      </c>
      <c r="C102" s="11">
        <v>135</v>
      </c>
      <c r="D102" s="9">
        <v>136</v>
      </c>
      <c r="E102" s="9">
        <v>137</v>
      </c>
      <c r="F102" s="9">
        <v>138</v>
      </c>
      <c r="G102" s="107"/>
      <c r="H102" s="108"/>
      <c r="I102" s="108"/>
      <c r="J102" s="108"/>
      <c r="K102" s="108"/>
      <c r="L102" s="101"/>
      <c r="O102" s="6"/>
    </row>
    <row r="103" spans="1:15">
      <c r="A103" s="99"/>
      <c r="B103" s="8" t="str">
        <f t="shared" si="1"/>
        <v>2504</v>
      </c>
      <c r="C103" s="9">
        <v>139</v>
      </c>
      <c r="D103" s="9">
        <v>140</v>
      </c>
      <c r="E103" s="9">
        <v>141</v>
      </c>
      <c r="F103" s="9">
        <v>142</v>
      </c>
      <c r="G103" s="85"/>
      <c r="H103" s="86"/>
      <c r="I103" s="86"/>
      <c r="J103" s="86"/>
      <c r="K103" s="86"/>
      <c r="L103" s="101"/>
      <c r="O103" s="6"/>
    </row>
    <row r="104" spans="1:15">
      <c r="O104" s="6"/>
    </row>
    <row r="105" spans="1:15">
      <c r="O105" s="6"/>
    </row>
    <row r="106" spans="1:15">
      <c r="O106" s="6"/>
    </row>
    <row r="107" spans="1:15">
      <c r="O107" s="6"/>
    </row>
    <row r="108" spans="1:15">
      <c r="O108" s="6"/>
    </row>
    <row r="109" spans="1:15">
      <c r="O109" s="6"/>
    </row>
  </sheetData>
  <mergeCells count="70">
    <mergeCell ref="L4:L27"/>
    <mergeCell ref="L28:L51"/>
    <mergeCell ref="L52:L75"/>
    <mergeCell ref="L76:L103"/>
    <mergeCell ref="A92:A95"/>
    <mergeCell ref="G93:K95"/>
    <mergeCell ref="A96:A99"/>
    <mergeCell ref="G97:K99"/>
    <mergeCell ref="A100:A103"/>
    <mergeCell ref="G101:K103"/>
    <mergeCell ref="A76:A79"/>
    <mergeCell ref="G77:K79"/>
    <mergeCell ref="A80:A83"/>
    <mergeCell ref="G81:K83"/>
    <mergeCell ref="A84:A87"/>
    <mergeCell ref="G85:K87"/>
    <mergeCell ref="A60:A63"/>
    <mergeCell ref="G61:K63"/>
    <mergeCell ref="A88:A91"/>
    <mergeCell ref="G89:K91"/>
    <mergeCell ref="A64:A67"/>
    <mergeCell ref="G65:K67"/>
    <mergeCell ref="A68:A71"/>
    <mergeCell ref="G69:K71"/>
    <mergeCell ref="A72:A75"/>
    <mergeCell ref="G73:K75"/>
    <mergeCell ref="A48:A51"/>
    <mergeCell ref="G49:K51"/>
    <mergeCell ref="A52:A55"/>
    <mergeCell ref="G53:K55"/>
    <mergeCell ref="A56:A59"/>
    <mergeCell ref="G57:K59"/>
    <mergeCell ref="A32:A35"/>
    <mergeCell ref="G33:K35"/>
    <mergeCell ref="A40:A43"/>
    <mergeCell ref="G41:K43"/>
    <mergeCell ref="A44:A47"/>
    <mergeCell ref="G45:K47"/>
    <mergeCell ref="N4:N7"/>
    <mergeCell ref="S4:S7"/>
    <mergeCell ref="G5:K7"/>
    <mergeCell ref="A36:A39"/>
    <mergeCell ref="G37:K39"/>
    <mergeCell ref="G13:K15"/>
    <mergeCell ref="S14:S17"/>
    <mergeCell ref="A16:A19"/>
    <mergeCell ref="G17:K19"/>
    <mergeCell ref="S19:S22"/>
    <mergeCell ref="A20:A23"/>
    <mergeCell ref="G21:K23"/>
    <mergeCell ref="A24:A27"/>
    <mergeCell ref="G25:K27"/>
    <mergeCell ref="A28:A31"/>
    <mergeCell ref="G29:K31"/>
    <mergeCell ref="A8:A11"/>
    <mergeCell ref="G9:K11"/>
    <mergeCell ref="S9:S12"/>
    <mergeCell ref="A12:A15"/>
    <mergeCell ref="A1:L1"/>
    <mergeCell ref="A2:A3"/>
    <mergeCell ref="B2:B3"/>
    <mergeCell ref="C2:F3"/>
    <mergeCell ref="G2:G3"/>
    <mergeCell ref="H2:H3"/>
    <mergeCell ref="I2:I3"/>
    <mergeCell ref="J2:J3"/>
    <mergeCell ref="K2:K3"/>
    <mergeCell ref="L2:L3"/>
    <mergeCell ref="O3:P3"/>
    <mergeCell ref="A4:A7"/>
  </mergeCells>
  <conditionalFormatting sqref="F10">
    <cfRule type="cellIs" dxfId="16" priority="28" operator="equal">
      <formula>"Ногоон"</formula>
    </cfRule>
    <cfRule type="cellIs" dxfId="15" priority="29" operator="equal">
      <formula>"Улаан"</formula>
    </cfRule>
  </conditionalFormatting>
  <conditionalFormatting sqref="C4:K4 C8:K8 C5:G5 C6:F7 C12:K12 C9:G9 C10:F11 C100:K100 C13:G13 C14:F15 C16:K16 C20:K20 C17:G17 C18:F19 C24:K24 C21:G21 C22:F23 C25:G25 C26:F27 C101:G101 C102:F103 C28:K28 C32:K32 C29:G29 C30:F31 C36:K36 C33:G33 C34:F35 C37:G37 C38:F39 C40:K40 C44:K44 C41:G41 C42:F43 C48:K48 C45:G45 C46:F47 C49:G49 C50:F51 C52:K52 C56:K56 C53:G53 C54:F55 C60:K60 C57:G57 C58:F59 C61:G61 C62:F63 C64:K64 C68:K68 C65:G65 C66:F67 C72:K72 C69:G69 C70:F71 C73:G73 C74:F75 C76:K76 C80:K80 C77:G77 C78:F79 C84:K84 C81:G81 C82:F83 C85:G85 C86:F87 C88:K88 C92:K92 C89:G89 C90:F91 C96:K96 C93:G93 C94:F95 C97:G97 C98:F99">
    <cfRule type="cellIs" dxfId="14" priority="27" operator="equal">
      <formula>"Улаан"</formula>
    </cfRule>
  </conditionalFormatting>
  <conditionalFormatting sqref="F22">
    <cfRule type="cellIs" dxfId="13" priority="25" operator="equal">
      <formula>"Ногоон"</formula>
    </cfRule>
    <cfRule type="cellIs" dxfId="12" priority="26" operator="equal">
      <formula>"Улаан"</formula>
    </cfRule>
  </conditionalFormatting>
  <conditionalFormatting sqref="F34">
    <cfRule type="cellIs" dxfId="11" priority="11" operator="equal">
      <formula>"Ногоон"</formula>
    </cfRule>
    <cfRule type="cellIs" dxfId="10" priority="12" operator="equal">
      <formula>"Улаан"</formula>
    </cfRule>
  </conditionalFormatting>
  <conditionalFormatting sqref="F46">
    <cfRule type="cellIs" dxfId="9" priority="9" operator="equal">
      <formula>"Ногоон"</formula>
    </cfRule>
    <cfRule type="cellIs" dxfId="8" priority="10" operator="equal">
      <formula>"Улаан"</formula>
    </cfRule>
  </conditionalFormatting>
  <conditionalFormatting sqref="F58">
    <cfRule type="cellIs" dxfId="7" priority="7" operator="equal">
      <formula>"Ногоон"</formula>
    </cfRule>
    <cfRule type="cellIs" dxfId="6" priority="8" operator="equal">
      <formula>"Улаан"</formula>
    </cfRule>
  </conditionalFormatting>
  <conditionalFormatting sqref="F70">
    <cfRule type="cellIs" dxfId="5" priority="5" operator="equal">
      <formula>"Ногоон"</formula>
    </cfRule>
    <cfRule type="cellIs" dxfId="4" priority="6" operator="equal">
      <formula>"Улаан"</formula>
    </cfRule>
  </conditionalFormatting>
  <conditionalFormatting sqref="F82">
    <cfRule type="cellIs" dxfId="3" priority="3" operator="equal">
      <formula>"Ногоон"</formula>
    </cfRule>
    <cfRule type="cellIs" dxfId="2" priority="4" operator="equal">
      <formula>"Улаан"</formula>
    </cfRule>
  </conditionalFormatting>
  <conditionalFormatting sqref="F94">
    <cfRule type="cellIs" dxfId="1" priority="1" operator="equal">
      <formula>"Ногоон"</formula>
    </cfRule>
    <cfRule type="cellIs" dxfId="0" priority="2" operator="equal">
      <formula>"Улаан"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7070D043475F43B7C596FF6EEE8AD2" ma:contentTypeVersion="7" ma:contentTypeDescription="Create a new document." ma:contentTypeScope="" ma:versionID="223252b9520720e665c6f23e52b35a88">
  <xsd:schema xmlns:xsd="http://www.w3.org/2001/XMLSchema" xmlns:xs="http://www.w3.org/2001/XMLSchema" xmlns:p="http://schemas.microsoft.com/office/2006/metadata/properties" xmlns:ns3="3f6217c0-7628-4fa8-b230-071dfee740ac" targetNamespace="http://schemas.microsoft.com/office/2006/metadata/properties" ma:root="true" ma:fieldsID="36a11873730b0102f98d8a65602793b7" ns3:_="">
    <xsd:import namespace="3f6217c0-7628-4fa8-b230-071dfee740a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217c0-7628-4fa8-b230-071dfee740a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f6217c0-7628-4fa8-b230-071dfee740ac" xsi:nil="true"/>
  </documentManagement>
</p:properties>
</file>

<file path=customXml/itemProps1.xml><?xml version="1.0" encoding="utf-8"?>
<ds:datastoreItem xmlns:ds="http://schemas.openxmlformats.org/officeDocument/2006/customXml" ds:itemID="{22C14D1E-425B-442C-98C2-8DD611FDAD1A}"/>
</file>

<file path=customXml/itemProps2.xml><?xml version="1.0" encoding="utf-8"?>
<ds:datastoreItem xmlns:ds="http://schemas.openxmlformats.org/officeDocument/2006/customXml" ds:itemID="{68578666-E31E-4DF0-B0FB-3B81D2704A00}"/>
</file>

<file path=customXml/itemProps3.xml><?xml version="1.0" encoding="utf-8"?>
<ds:datastoreItem xmlns:ds="http://schemas.openxmlformats.org/officeDocument/2006/customXml" ds:itemID="{DDB4AD39-7165-45B1-9965-A5CAD872B940}"/>
</file>

<file path=customXml/itemProps4.xml><?xml version="1.0" encoding="utf-8"?>
<ds:datastoreItem xmlns:ds="http://schemas.openxmlformats.org/officeDocument/2006/customXml" ds:itemID="{27042141-7AF0-48D4-BB96-D15113EBCE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Jadambaa Turmunkh[DP]</dc:creator>
  <cp:keywords/>
  <dc:description/>
  <cp:lastModifiedBy/>
  <cp:revision/>
  <dcterms:created xsi:type="dcterms:W3CDTF">2023-09-20T07:21:59Z</dcterms:created>
  <dcterms:modified xsi:type="dcterms:W3CDTF">2025-12-18T13:40:18Z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0x010100F27070D043475F43B7C596FF6EEE8AD2</vt:lpwstr>
  </property>
</Properties>
</file>